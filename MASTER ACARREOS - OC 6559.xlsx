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ma\OneDrive\Documentos\XIMA INDUSTRIAL SA DE CV 2022 -2026\PROTEXA (SERCONTER) 2026\OBRA - EJECUCION\PROYECTOS EN EJECUCION\PROYECTO OC 6559\MASTER\"/>
    </mc:Choice>
  </mc:AlternateContent>
  <xr:revisionPtr revIDLastSave="0" documentId="13_ncr:1_{8FF68E4C-83F4-49C7-A25B-1AAEB20E6D64}" xr6:coauthVersionLast="47" xr6:coauthVersionMax="47" xr10:uidLastSave="{00000000-0000-0000-0000-000000000000}"/>
  <bookViews>
    <workbookView xWindow="-120" yWindow="-120" windowWidth="29040" windowHeight="17520" tabRatio="777" xr2:uid="{00000000-000D-0000-FFFF-FFFF00000000}"/>
  </bookViews>
  <sheets>
    <sheet name="ACARREOS BANCOS DE MAT" sheetId="97" r:id="rId1"/>
    <sheet name="BACHEO" sheetId="2" state="hidden" r:id="rId2"/>
    <sheet name="PROGRAMA" sheetId="11" state="hidden" r:id="rId3"/>
    <sheet name="prog 2 " sheetId="12" state="hidden" r:id="rId4"/>
    <sheet name="CEPILLADO" sheetId="9" state="hidden" r:id="rId5"/>
    <sheet name="RANURADO" sheetId="10" state="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'ACARREOS BANCOS DE MAT'!$A$1:$Q$681</definedName>
    <definedName name="_iva4">'[1]Estimacion No. 4'!$D$26</definedName>
    <definedName name="_iva5">'[1]Estimacion No. 5'!$D$26</definedName>
    <definedName name="anticipo4">'[1]Estimacion No. 4'!$D$22</definedName>
    <definedName name="anticipo5">'[1]Estimacion No. 5'!$D$22</definedName>
    <definedName name="area" localSheetId="0">#REF!</definedName>
    <definedName name="area">#REF!</definedName>
    <definedName name="area_de_imp" localSheetId="0">#REF!</definedName>
    <definedName name="area_de_imp">#REF!</definedName>
    <definedName name="AREA_DE_IMPRESI" localSheetId="0">#REF!</definedName>
    <definedName name="AREA_DE_IMPRESI">#REF!</definedName>
    <definedName name="_xlnm.Print_Area" localSheetId="0">'ACARREOS BANCOS DE MAT'!$A$1:$Q$697</definedName>
    <definedName name="_xlnm.Print_Area">#REF!</definedName>
    <definedName name="AREADEIMPR" localSheetId="0">#REF!</definedName>
    <definedName name="AREADEIMPR">#REF!</definedName>
    <definedName name="benef4">'[1]Estimacion No. 4'!$C$31</definedName>
    <definedName name="benef5">'[1]Estimacion No. 5'!$C$31</definedName>
    <definedName name="cajarp" localSheetId="0">#REF!</definedName>
    <definedName name="cajarp">#REF!</definedName>
    <definedName name="CARCAMO" localSheetId="0">#REF!</definedName>
    <definedName name="CARCAMO">#REF!</definedName>
    <definedName name="CLAVE" localSheetId="0">#REF!</definedName>
    <definedName name="CLAVE">#REF!</definedName>
    <definedName name="D" localSheetId="0">#REF!</definedName>
    <definedName name="D">#REF!</definedName>
    <definedName name="deduc4">'[1]Estimacion No. 4'!$D$30</definedName>
    <definedName name="deduc5">'[1]Estimacion No. 5'!$D$30</definedName>
    <definedName name="equi" localSheetId="0">#REF!</definedName>
    <definedName name="equi">#REF!</definedName>
    <definedName name="est_1">'[2]Extraccion (2)'!$B$4:$K$56</definedName>
    <definedName name="fecha3">'[1]Estimacion No. 3'!$B$10</definedName>
    <definedName name="fecha4">'[1]Estimacion No. 4'!$B$10</definedName>
    <definedName name="fecha5">'[1]Estimacion No. 5'!$B$10</definedName>
    <definedName name="impest3">'[1]Estimacion No. 3'!$D$20</definedName>
    <definedName name="impest4">'[1]Estimacion No. 4'!$D$20</definedName>
    <definedName name="impest5">'[1]Estimacion No. 5'!$D$20</definedName>
    <definedName name="Int_Mens">[3]ARCIDES!$G$13</definedName>
    <definedName name="Name">[4]Portada!$E$20</definedName>
    <definedName name="neto4">'[1]Estimacion No. 4'!$D$34</definedName>
    <definedName name="neto5">'[1]Estimacion No. 5'!$D$34</definedName>
    <definedName name="NoClave" localSheetId="0">#REF!</definedName>
    <definedName name="NoClave">#REF!</definedName>
    <definedName name="nuev0" localSheetId="0">#REF!</definedName>
    <definedName name="nuev0">#REF!</definedName>
    <definedName name="nuevo" localSheetId="0">#REF!</definedName>
    <definedName name="nuevo">#REF!</definedName>
    <definedName name="partida">'[5]Estado de Cuenta'!$H$7</definedName>
    <definedName name="programa">'[5]Estado de Cuenta'!$G$5</definedName>
    <definedName name="Subheader">[4]Portada!$E$22</definedName>
    <definedName name="subprograma">'[5]Estado de Cuenta'!$H$6</definedName>
    <definedName name="subtotal4">'[1]Estimacion No. 4'!$D$24</definedName>
    <definedName name="subtotal5">'[1]Estimacion No. 5'!$D$24</definedName>
    <definedName name="superv4">'[1]Estimacion No. 4'!$C$32</definedName>
    <definedName name="superv5">'[1]Estimacion No. 5'!$C$32</definedName>
    <definedName name="Tasa_Int">[3]ARCIDES!$C$10</definedName>
    <definedName name="_xlnm.Print_Titles" localSheetId="0">'ACARREOS BANCOS DE MAT'!$1:$1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8" i="97" l="1"/>
  <c r="K347" i="97"/>
  <c r="M9" i="12"/>
  <c r="K9" i="12"/>
  <c r="F9" i="12"/>
  <c r="I9" i="12" s="1"/>
  <c r="L9" i="12" s="1"/>
  <c r="K8" i="12"/>
  <c r="F8" i="12"/>
  <c r="I8" i="12" s="1"/>
  <c r="L8" i="12" s="1"/>
  <c r="M42" i="12"/>
  <c r="K42" i="12"/>
  <c r="M41" i="12"/>
  <c r="K41" i="12"/>
  <c r="M40" i="12"/>
  <c r="K40" i="12"/>
  <c r="M39" i="12"/>
  <c r="K39" i="12"/>
  <c r="E39" i="12"/>
  <c r="E40" i="12" s="1"/>
  <c r="E41" i="12" s="1"/>
  <c r="E42" i="12" s="1"/>
  <c r="F42" i="12" s="1"/>
  <c r="I42" i="12" s="1"/>
  <c r="L42" i="12" s="1"/>
  <c r="D39" i="12"/>
  <c r="D40" i="12" s="1"/>
  <c r="D41" i="12" s="1"/>
  <c r="D42" i="12" s="1"/>
  <c r="M37" i="12"/>
  <c r="K37" i="12"/>
  <c r="M36" i="12"/>
  <c r="K36" i="12"/>
  <c r="E36" i="12"/>
  <c r="E37" i="12" s="1"/>
  <c r="D36" i="12"/>
  <c r="D37" i="12" s="1"/>
  <c r="M34" i="12"/>
  <c r="K34" i="12"/>
  <c r="M33" i="12"/>
  <c r="K33" i="12"/>
  <c r="M32" i="12"/>
  <c r="M30" i="12" s="1"/>
  <c r="M27" i="12" s="1"/>
  <c r="K32" i="12"/>
  <c r="M31" i="12"/>
  <c r="K31" i="12"/>
  <c r="E31" i="12"/>
  <c r="E32" i="12" s="1"/>
  <c r="E33" i="12" s="1"/>
  <c r="E34" i="12" s="1"/>
  <c r="F34" i="12" s="1"/>
  <c r="I34" i="12" s="1"/>
  <c r="L34" i="12" s="1"/>
  <c r="D31" i="12"/>
  <c r="D32" i="12" s="1"/>
  <c r="D33" i="12" s="1"/>
  <c r="D34" i="12" s="1"/>
  <c r="M29" i="12"/>
  <c r="K29" i="12"/>
  <c r="M28" i="12"/>
  <c r="K28" i="12"/>
  <c r="E28" i="12"/>
  <c r="D28" i="12"/>
  <c r="D29" i="12" s="1"/>
  <c r="M26" i="12"/>
  <c r="K26" i="12"/>
  <c r="M25" i="12"/>
  <c r="K25" i="12"/>
  <c r="M24" i="12"/>
  <c r="K24" i="12"/>
  <c r="M23" i="12"/>
  <c r="K23" i="12"/>
  <c r="E23" i="12"/>
  <c r="E24" i="12" s="1"/>
  <c r="E25" i="12" s="1"/>
  <c r="E26" i="12" s="1"/>
  <c r="D23" i="12"/>
  <c r="D24" i="12" s="1"/>
  <c r="D25" i="12" s="1"/>
  <c r="D26" i="12" s="1"/>
  <c r="M21" i="12"/>
  <c r="K21" i="12"/>
  <c r="E21" i="12"/>
  <c r="D21" i="12"/>
  <c r="M19" i="12"/>
  <c r="K19" i="12"/>
  <c r="M18" i="12"/>
  <c r="K18" i="12"/>
  <c r="F18" i="12"/>
  <c r="I18" i="12" s="1"/>
  <c r="L18" i="12" s="1"/>
  <c r="E18" i="12"/>
  <c r="E19" i="12" s="1"/>
  <c r="D18" i="12"/>
  <c r="D19" i="12" s="1"/>
  <c r="K16" i="12"/>
  <c r="K15" i="12"/>
  <c r="K14" i="12"/>
  <c r="K13" i="12"/>
  <c r="E13" i="12"/>
  <c r="D13" i="12"/>
  <c r="D14" i="12" s="1"/>
  <c r="D15" i="12" s="1"/>
  <c r="D16" i="12" s="1"/>
  <c r="M7" i="12"/>
  <c r="K7" i="12"/>
  <c r="K6" i="12"/>
  <c r="F6" i="12"/>
  <c r="I6" i="12" s="1"/>
  <c r="E7" i="12"/>
  <c r="D7" i="12"/>
  <c r="F7" i="12" s="1"/>
  <c r="I7" i="12" s="1"/>
  <c r="F5" i="12"/>
  <c r="HK3" i="12"/>
  <c r="HJ3" i="12"/>
  <c r="HI3" i="12"/>
  <c r="HH3" i="12"/>
  <c r="HG3" i="12"/>
  <c r="HF3" i="12"/>
  <c r="HE3" i="12"/>
  <c r="HD3" i="12"/>
  <c r="HC3" i="12"/>
  <c r="HB3" i="12"/>
  <c r="HA3" i="12"/>
  <c r="GZ3" i="12"/>
  <c r="GY3" i="12"/>
  <c r="GX3" i="12"/>
  <c r="GW3" i="12"/>
  <c r="GV3" i="12"/>
  <c r="GU3" i="12"/>
  <c r="GT3" i="12"/>
  <c r="GS3" i="12"/>
  <c r="GR3" i="12"/>
  <c r="GQ3" i="12"/>
  <c r="GP3" i="12"/>
  <c r="GO3" i="12"/>
  <c r="GN3" i="12"/>
  <c r="GM3" i="12"/>
  <c r="GL3" i="12"/>
  <c r="GK3" i="12"/>
  <c r="GJ3" i="12"/>
  <c r="GI3" i="12"/>
  <c r="GH3" i="12"/>
  <c r="GG3" i="12"/>
  <c r="GF3" i="12"/>
  <c r="GE3" i="12"/>
  <c r="GD3" i="12"/>
  <c r="GC3" i="12"/>
  <c r="GB3" i="12"/>
  <c r="GA3" i="12"/>
  <c r="FZ3" i="12"/>
  <c r="FY3" i="12"/>
  <c r="FX3" i="12"/>
  <c r="FW3" i="12"/>
  <c r="FV3" i="12"/>
  <c r="FU3" i="12"/>
  <c r="FT3" i="12"/>
  <c r="FS3" i="12"/>
  <c r="FR3" i="12"/>
  <c r="FQ3" i="12"/>
  <c r="FP3" i="12"/>
  <c r="FO3" i="12"/>
  <c r="FN3" i="12"/>
  <c r="FM3" i="12"/>
  <c r="FL3" i="12"/>
  <c r="FK3" i="12"/>
  <c r="FJ3" i="12"/>
  <c r="FI3" i="12"/>
  <c r="FH3" i="12"/>
  <c r="FG3" i="12"/>
  <c r="FF3" i="12"/>
  <c r="FE3" i="12"/>
  <c r="FD3" i="12"/>
  <c r="FC3" i="12"/>
  <c r="FB3" i="12"/>
  <c r="FA3" i="12"/>
  <c r="EZ3" i="12"/>
  <c r="EY3" i="12"/>
  <c r="EX3" i="12"/>
  <c r="EW3" i="12"/>
  <c r="EV3" i="12"/>
  <c r="EU3" i="12"/>
  <c r="ET3" i="12"/>
  <c r="ES3" i="12"/>
  <c r="ER3" i="12"/>
  <c r="EQ3" i="12"/>
  <c r="EP3" i="12"/>
  <c r="EO3" i="12"/>
  <c r="EN3" i="12"/>
  <c r="EM3" i="12"/>
  <c r="EL3" i="12"/>
  <c r="EK3" i="12"/>
  <c r="EJ3" i="12"/>
  <c r="EI3" i="12"/>
  <c r="EH3" i="12"/>
  <c r="EG3" i="12"/>
  <c r="EF3" i="12"/>
  <c r="EE3" i="12"/>
  <c r="ED3" i="12"/>
  <c r="EC3" i="12"/>
  <c r="EB3" i="12"/>
  <c r="EA3" i="12"/>
  <c r="DZ3" i="12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L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X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J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V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M13" i="12" s="1"/>
  <c r="M14" i="12" s="1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M8" i="12" s="1"/>
  <c r="AD3" i="12"/>
  <c r="AC3" i="12"/>
  <c r="M6" i="12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K781" i="97" l="1"/>
  <c r="F19" i="12"/>
  <c r="I19" i="12" s="1"/>
  <c r="L19" i="12" s="1"/>
  <c r="F39" i="12"/>
  <c r="I39" i="12" s="1"/>
  <c r="L39" i="12" s="1"/>
  <c r="F23" i="12"/>
  <c r="I23" i="12" s="1"/>
  <c r="L23" i="12" s="1"/>
  <c r="N23" i="12" s="1"/>
  <c r="F26" i="12"/>
  <c r="I26" i="12" s="1"/>
  <c r="L26" i="12" s="1"/>
  <c r="F31" i="12"/>
  <c r="I31" i="12" s="1"/>
  <c r="L31" i="12" s="1"/>
  <c r="N31" i="12" s="1"/>
  <c r="N9" i="12"/>
  <c r="N8" i="12"/>
  <c r="M5" i="12"/>
  <c r="L7" i="12"/>
  <c r="N7" i="12" s="1"/>
  <c r="L6" i="12"/>
  <c r="N6" i="12" s="1"/>
  <c r="F24" i="12"/>
  <c r="I24" i="12" s="1"/>
  <c r="L24" i="12" s="1"/>
  <c r="N24" i="12" s="1"/>
  <c r="N26" i="12"/>
  <c r="N28" i="12"/>
  <c r="F37" i="12"/>
  <c r="I37" i="12" s="1"/>
  <c r="L37" i="12" s="1"/>
  <c r="N37" i="12" s="1"/>
  <c r="F40" i="12"/>
  <c r="I40" i="12" s="1"/>
  <c r="L40" i="12" s="1"/>
  <c r="N40" i="12" s="1"/>
  <c r="N42" i="12"/>
  <c r="N19" i="12"/>
  <c r="F33" i="12"/>
  <c r="I33" i="12" s="1"/>
  <c r="L33" i="12" s="1"/>
  <c r="N33" i="12" s="1"/>
  <c r="N41" i="12"/>
  <c r="N18" i="12"/>
  <c r="M22" i="12"/>
  <c r="M20" i="12" s="1"/>
  <c r="M17" i="12" s="1"/>
  <c r="F28" i="12"/>
  <c r="I28" i="12" s="1"/>
  <c r="L28" i="12" s="1"/>
  <c r="F32" i="12"/>
  <c r="I32" i="12" s="1"/>
  <c r="L32" i="12" s="1"/>
  <c r="N32" i="12" s="1"/>
  <c r="N34" i="12"/>
  <c r="M38" i="12"/>
  <c r="M35" i="12" s="1"/>
  <c r="F13" i="12"/>
  <c r="I13" i="12" s="1"/>
  <c r="L13" i="12" s="1"/>
  <c r="N13" i="12" s="1"/>
  <c r="E14" i="12"/>
  <c r="F21" i="12"/>
  <c r="I21" i="12" s="1"/>
  <c r="L21" i="12" s="1"/>
  <c r="N21" i="12" s="1"/>
  <c r="F25" i="12"/>
  <c r="I25" i="12" s="1"/>
  <c r="L25" i="12" s="1"/>
  <c r="N25" i="12" s="1"/>
  <c r="N39" i="12"/>
  <c r="F41" i="12"/>
  <c r="I41" i="12" s="1"/>
  <c r="L41" i="12" s="1"/>
  <c r="E29" i="12"/>
  <c r="F29" i="12" s="1"/>
  <c r="I29" i="12" s="1"/>
  <c r="L29" i="12" s="1"/>
  <c r="N29" i="12" s="1"/>
  <c r="F36" i="12"/>
  <c r="I36" i="12" s="1"/>
  <c r="L36" i="12" s="1"/>
  <c r="N36" i="12" s="1"/>
  <c r="N38" i="12" l="1"/>
  <c r="N35" i="12"/>
  <c r="N30" i="12"/>
  <c r="N5" i="12"/>
  <c r="N22" i="12"/>
  <c r="N20" i="12" s="1"/>
  <c r="N17" i="12" s="1"/>
  <c r="N27" i="12"/>
  <c r="F14" i="12"/>
  <c r="I14" i="12" s="1"/>
  <c r="E15" i="12"/>
  <c r="F15" i="12" l="1"/>
  <c r="I15" i="12" s="1"/>
  <c r="E16" i="12"/>
  <c r="F16" i="12" s="1"/>
  <c r="I16" i="12" s="1"/>
  <c r="I46" i="12"/>
  <c r="L14" i="12"/>
  <c r="N14" i="12" s="1"/>
  <c r="M15" i="12" s="1"/>
  <c r="M12" i="12" s="1"/>
  <c r="L60" i="12" l="1"/>
  <c r="L61" i="12" s="1"/>
  <c r="J46" i="12"/>
  <c r="I59" i="12"/>
  <c r="L59" i="12" s="1"/>
  <c r="L16" i="12"/>
  <c r="H50" i="12"/>
  <c r="L15" i="12"/>
  <c r="N15" i="12" s="1"/>
  <c r="G50" i="12"/>
  <c r="I45" i="12"/>
  <c r="J45" i="12" s="1"/>
  <c r="M16" i="12" l="1"/>
  <c r="N16" i="12" s="1"/>
  <c r="N12" i="12" s="1"/>
  <c r="J50" i="12"/>
  <c r="J56" i="12"/>
  <c r="G54" i="12"/>
  <c r="G52" i="12"/>
  <c r="I52" i="12" s="1"/>
  <c r="G51" i="12"/>
  <c r="I50" i="12"/>
  <c r="G55" i="12"/>
  <c r="K56" i="12"/>
  <c r="K57" i="12" s="1"/>
  <c r="H54" i="12"/>
  <c r="H55" i="12"/>
  <c r="H53" i="12"/>
  <c r="I53" i="12" s="1"/>
  <c r="K50" i="12"/>
  <c r="H51" i="12"/>
  <c r="I55" i="12" l="1"/>
  <c r="I54" i="12"/>
  <c r="K54" i="12"/>
  <c r="K53" i="12"/>
  <c r="L53" i="12" s="1"/>
  <c r="K55" i="12"/>
  <c r="K51" i="12"/>
  <c r="J57" i="12"/>
  <c r="L57" i="12" s="1"/>
  <c r="L56" i="12"/>
  <c r="I51" i="12"/>
  <c r="J55" i="12"/>
  <c r="J51" i="12"/>
  <c r="L50" i="12"/>
  <c r="J54" i="12"/>
  <c r="J52" i="12"/>
  <c r="L52" i="12" s="1"/>
  <c r="L55" i="12" l="1"/>
  <c r="L54" i="12"/>
  <c r="L51" i="12"/>
  <c r="I60" i="2" l="1"/>
  <c r="K60" i="2" s="1"/>
  <c r="M60" i="2" s="1"/>
  <c r="I59" i="2"/>
  <c r="K59" i="2" s="1"/>
  <c r="M59" i="2" s="1"/>
  <c r="I58" i="2"/>
  <c r="K58" i="2" s="1"/>
  <c r="M58" i="2" s="1"/>
  <c r="I57" i="2"/>
  <c r="K57" i="2" s="1"/>
  <c r="M57" i="2" s="1"/>
  <c r="I56" i="2"/>
  <c r="K56" i="2" s="1"/>
  <c r="M56" i="2" s="1"/>
  <c r="I55" i="2"/>
  <c r="K55" i="2" s="1"/>
  <c r="M55" i="2" s="1"/>
  <c r="I54" i="2"/>
  <c r="K54" i="2" s="1"/>
  <c r="M54" i="2" s="1"/>
  <c r="I53" i="2"/>
  <c r="K53" i="2" s="1"/>
  <c r="M53" i="2" s="1"/>
  <c r="I52" i="2"/>
  <c r="K52" i="2" s="1"/>
  <c r="M52" i="2" s="1"/>
  <c r="I51" i="2"/>
  <c r="K51" i="2" s="1"/>
  <c r="M51" i="2" s="1"/>
  <c r="K50" i="2"/>
  <c r="M50" i="2" s="1"/>
  <c r="I50" i="2"/>
  <c r="I49" i="2"/>
  <c r="K49" i="2" s="1"/>
  <c r="M49" i="2" s="1"/>
  <c r="I48" i="2"/>
  <c r="K48" i="2" s="1"/>
  <c r="M48" i="2" s="1"/>
  <c r="I47" i="2"/>
  <c r="K47" i="2" s="1"/>
  <c r="M47" i="2" s="1"/>
  <c r="I46" i="2"/>
  <c r="K46" i="2" s="1"/>
  <c r="M46" i="2" s="1"/>
  <c r="I45" i="2"/>
  <c r="K45" i="2" s="1"/>
  <c r="M45" i="2" s="1"/>
  <c r="I44" i="2"/>
  <c r="K44" i="2" s="1"/>
  <c r="M44" i="2" s="1"/>
  <c r="I43" i="2"/>
  <c r="K43" i="2" s="1"/>
  <c r="M43" i="2" s="1"/>
  <c r="I42" i="2"/>
  <c r="K42" i="2" s="1"/>
  <c r="M42" i="2" s="1"/>
  <c r="I41" i="2"/>
  <c r="K41" i="2" s="1"/>
  <c r="M41" i="2" s="1"/>
  <c r="I40" i="2"/>
  <c r="K40" i="2" s="1"/>
  <c r="M40" i="2" s="1"/>
  <c r="I39" i="2"/>
  <c r="K39" i="2" s="1"/>
  <c r="M39" i="2" s="1"/>
  <c r="I38" i="2"/>
  <c r="K38" i="2" s="1"/>
  <c r="M38" i="2" s="1"/>
  <c r="I37" i="2"/>
  <c r="K37" i="2" s="1"/>
  <c r="M37" i="2" s="1"/>
  <c r="I36" i="2"/>
  <c r="K36" i="2" s="1"/>
  <c r="M36" i="2" s="1"/>
  <c r="I35" i="2"/>
  <c r="K35" i="2" s="1"/>
  <c r="M35" i="2" s="1"/>
  <c r="I34" i="2"/>
  <c r="K34" i="2" s="1"/>
  <c r="M34" i="2" s="1"/>
  <c r="I33" i="2"/>
  <c r="K33" i="2" s="1"/>
  <c r="M33" i="2" s="1"/>
  <c r="I32" i="2"/>
  <c r="K32" i="2" s="1"/>
  <c r="M32" i="2" s="1"/>
  <c r="I31" i="2"/>
  <c r="K31" i="2" s="1"/>
  <c r="M31" i="2" s="1"/>
  <c r="K30" i="2"/>
  <c r="M30" i="2" s="1"/>
  <c r="H30" i="2"/>
  <c r="HJ3" i="11" l="1"/>
  <c r="HK3" i="11"/>
  <c r="HD3" i="11"/>
  <c r="HE3" i="11"/>
  <c r="HF3" i="11"/>
  <c r="HG3" i="11"/>
  <c r="HH3" i="11"/>
  <c r="HI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GI3" i="11"/>
  <c r="GJ3" i="11"/>
  <c r="GK3" i="11"/>
  <c r="GL3" i="11"/>
  <c r="GM3" i="11"/>
  <c r="GN3" i="11"/>
  <c r="GO3" i="11"/>
  <c r="GP3" i="11"/>
  <c r="GQ3" i="11"/>
  <c r="GR3" i="11"/>
  <c r="GS3" i="11"/>
  <c r="GT3" i="11"/>
  <c r="GU3" i="11"/>
  <c r="GV3" i="11"/>
  <c r="GW3" i="11"/>
  <c r="GX3" i="11"/>
  <c r="GY3" i="11"/>
  <c r="GZ3" i="11"/>
  <c r="HA3" i="11"/>
  <c r="HB3" i="11"/>
  <c r="HC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DG3" i="11"/>
  <c r="DH3" i="11"/>
  <c r="DI3" i="11"/>
  <c r="DJ3" i="11"/>
  <c r="DK3" i="11"/>
  <c r="DL3" i="11"/>
  <c r="DM3" i="11"/>
  <c r="DN3" i="11"/>
  <c r="DO3" i="11"/>
  <c r="DP3" i="11"/>
  <c r="DQ3" i="11"/>
  <c r="DR3" i="11"/>
  <c r="DS3" i="11"/>
  <c r="DT3" i="11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EL3" i="11"/>
  <c r="EM3" i="11"/>
  <c r="EN3" i="11"/>
  <c r="EO3" i="11"/>
  <c r="EP3" i="11"/>
  <c r="EQ3" i="11"/>
  <c r="ER3" i="11"/>
  <c r="ES3" i="11"/>
  <c r="W3" i="11"/>
  <c r="O3" i="11"/>
  <c r="P3" i="11"/>
  <c r="Q3" i="11"/>
  <c r="R3" i="11"/>
  <c r="S3" i="11"/>
  <c r="M9" i="11" s="1"/>
  <c r="T3" i="11"/>
  <c r="U3" i="11"/>
  <c r="V3" i="11"/>
  <c r="M38" i="11"/>
  <c r="K38" i="11"/>
  <c r="M37" i="11"/>
  <c r="K37" i="11"/>
  <c r="M36" i="11"/>
  <c r="K36" i="11"/>
  <c r="M35" i="11"/>
  <c r="K35" i="11"/>
  <c r="E35" i="11"/>
  <c r="D35" i="11"/>
  <c r="D36" i="11" s="1"/>
  <c r="D37" i="11" s="1"/>
  <c r="D38" i="11" s="1"/>
  <c r="M34" i="11"/>
  <c r="M33" i="11"/>
  <c r="K33" i="11"/>
  <c r="M32" i="11"/>
  <c r="K32" i="11"/>
  <c r="E32" i="11"/>
  <c r="E33" i="11" s="1"/>
  <c r="D32" i="11"/>
  <c r="D33" i="11" s="1"/>
  <c r="M30" i="11"/>
  <c r="K30" i="11"/>
  <c r="M29" i="11"/>
  <c r="K29" i="11"/>
  <c r="M28" i="11"/>
  <c r="K28" i="11"/>
  <c r="M27" i="11"/>
  <c r="M26" i="11" s="1"/>
  <c r="M23" i="11" s="1"/>
  <c r="K27" i="11"/>
  <c r="E27" i="11"/>
  <c r="E28" i="11" s="1"/>
  <c r="D27" i="11"/>
  <c r="D28" i="11" s="1"/>
  <c r="D29" i="11" s="1"/>
  <c r="D30" i="11" s="1"/>
  <c r="M25" i="11"/>
  <c r="K25" i="11"/>
  <c r="M24" i="11"/>
  <c r="K24" i="11"/>
  <c r="E24" i="11"/>
  <c r="E25" i="11" s="1"/>
  <c r="D24" i="11"/>
  <c r="D25" i="11" s="1"/>
  <c r="M22" i="11"/>
  <c r="K22" i="11"/>
  <c r="M21" i="11"/>
  <c r="K21" i="11"/>
  <c r="M20" i="11"/>
  <c r="K20" i="11"/>
  <c r="M19" i="11"/>
  <c r="M18" i="11" s="1"/>
  <c r="M16" i="11" s="1"/>
  <c r="M13" i="11" s="1"/>
  <c r="K19" i="11"/>
  <c r="F19" i="11"/>
  <c r="I19" i="11" s="1"/>
  <c r="L19" i="11" s="1"/>
  <c r="E19" i="11"/>
  <c r="E20" i="11" s="1"/>
  <c r="D19" i="11"/>
  <c r="D20" i="11" s="1"/>
  <c r="D21" i="11" s="1"/>
  <c r="D22" i="11" s="1"/>
  <c r="M17" i="11"/>
  <c r="K17" i="11"/>
  <c r="E17" i="11"/>
  <c r="F17" i="11" s="1"/>
  <c r="I17" i="11" s="1"/>
  <c r="L17" i="11" s="1"/>
  <c r="D17" i="11"/>
  <c r="M15" i="11"/>
  <c r="K15" i="11"/>
  <c r="M14" i="11"/>
  <c r="K14" i="11"/>
  <c r="E14" i="11"/>
  <c r="E15" i="11" s="1"/>
  <c r="D14" i="11"/>
  <c r="D15" i="11" s="1"/>
  <c r="D10" i="11"/>
  <c r="D11" i="11" s="1"/>
  <c r="D12" i="11" s="1"/>
  <c r="E9" i="11"/>
  <c r="E10" i="11" s="1"/>
  <c r="D9" i="11"/>
  <c r="E6" i="11"/>
  <c r="D6" i="11"/>
  <c r="D7" i="11" s="1"/>
  <c r="E7" i="11"/>
  <c r="F5" i="11"/>
  <c r="K12" i="11"/>
  <c r="M11" i="11"/>
  <c r="K11" i="11"/>
  <c r="K10" i="11"/>
  <c r="K9" i="11"/>
  <c r="F9" i="11"/>
  <c r="I9" i="11" s="1"/>
  <c r="L9" i="11" s="1"/>
  <c r="K7" i="11"/>
  <c r="M6" i="11"/>
  <c r="M5" i="11" s="1"/>
  <c r="K6" i="11"/>
  <c r="E11" i="11" l="1"/>
  <c r="E12" i="11" s="1"/>
  <c r="F10" i="11"/>
  <c r="I10" i="11" s="1"/>
  <c r="L10" i="11" s="1"/>
  <c r="F14" i="11"/>
  <c r="I14" i="11" s="1"/>
  <c r="L14" i="11" s="1"/>
  <c r="F33" i="11"/>
  <c r="I33" i="11" s="1"/>
  <c r="L33" i="11" s="1"/>
  <c r="N33" i="11" s="1"/>
  <c r="F24" i="11"/>
  <c r="I24" i="11" s="1"/>
  <c r="L24" i="11" s="1"/>
  <c r="M31" i="11"/>
  <c r="M12" i="11"/>
  <c r="N12" i="11" s="1"/>
  <c r="N24" i="11"/>
  <c r="F35" i="11"/>
  <c r="I35" i="11" s="1"/>
  <c r="L35" i="11" s="1"/>
  <c r="N35" i="11" s="1"/>
  <c r="E36" i="11"/>
  <c r="F32" i="11"/>
  <c r="I32" i="11" s="1"/>
  <c r="L32" i="11" s="1"/>
  <c r="N32" i="11" s="1"/>
  <c r="F27" i="11"/>
  <c r="I27" i="11" s="1"/>
  <c r="L27" i="11" s="1"/>
  <c r="N27" i="11" s="1"/>
  <c r="F28" i="11"/>
  <c r="I28" i="11" s="1"/>
  <c r="L28" i="11" s="1"/>
  <c r="N28" i="11" s="1"/>
  <c r="E29" i="11"/>
  <c r="F25" i="11"/>
  <c r="I25" i="11" s="1"/>
  <c r="E21" i="11"/>
  <c r="F20" i="11"/>
  <c r="I20" i="11" s="1"/>
  <c r="N19" i="11"/>
  <c r="N17" i="11"/>
  <c r="N14" i="11"/>
  <c r="F15" i="11"/>
  <c r="I15" i="11" s="1"/>
  <c r="L15" i="11" s="1"/>
  <c r="N15" i="11" s="1"/>
  <c r="F12" i="11"/>
  <c r="I12" i="11" s="1"/>
  <c r="L12" i="11" s="1"/>
  <c r="F11" i="11"/>
  <c r="I11" i="11" s="1"/>
  <c r="L11" i="11" s="1"/>
  <c r="N11" i="11" s="1"/>
  <c r="F6" i="11"/>
  <c r="I6" i="11" s="1"/>
  <c r="F7" i="11"/>
  <c r="I7" i="11" s="1"/>
  <c r="N9" i="11"/>
  <c r="M7" i="11" l="1"/>
  <c r="L20" i="11"/>
  <c r="N20" i="11" s="1"/>
  <c r="L7" i="11"/>
  <c r="L6" i="11"/>
  <c r="N6" i="11" s="1"/>
  <c r="L25" i="11"/>
  <c r="N25" i="11" s="1"/>
  <c r="F36" i="11"/>
  <c r="I36" i="11" s="1"/>
  <c r="L36" i="11" s="1"/>
  <c r="N36" i="11" s="1"/>
  <c r="E37" i="11"/>
  <c r="F29" i="11"/>
  <c r="I29" i="11" s="1"/>
  <c r="L29" i="11" s="1"/>
  <c r="N29" i="11" s="1"/>
  <c r="E30" i="11"/>
  <c r="F30" i="11" s="1"/>
  <c r="I30" i="11" s="1"/>
  <c r="L30" i="11" s="1"/>
  <c r="N30" i="11" s="1"/>
  <c r="E22" i="11"/>
  <c r="F22" i="11" s="1"/>
  <c r="I22" i="11" s="1"/>
  <c r="L22" i="11" s="1"/>
  <c r="N22" i="11" s="1"/>
  <c r="F21" i="11"/>
  <c r="I21" i="11" s="1"/>
  <c r="L21" i="11" s="1"/>
  <c r="N21" i="11" s="1"/>
  <c r="M10" i="11"/>
  <c r="N7" i="11" l="1"/>
  <c r="I42" i="11"/>
  <c r="N18" i="11"/>
  <c r="N16" i="11" s="1"/>
  <c r="N13" i="11" s="1"/>
  <c r="N5" i="11"/>
  <c r="F37" i="11"/>
  <c r="I37" i="11" s="1"/>
  <c r="G46" i="11" s="1"/>
  <c r="E38" i="11"/>
  <c r="F38" i="11" s="1"/>
  <c r="I38" i="11" s="1"/>
  <c r="H46" i="11" s="1"/>
  <c r="H49" i="11" s="1"/>
  <c r="I49" i="11" s="1"/>
  <c r="N26" i="11"/>
  <c r="N23" i="11" s="1"/>
  <c r="N10" i="11"/>
  <c r="N8" i="11" s="1"/>
  <c r="M8" i="11"/>
  <c r="J42" i="11" l="1"/>
  <c r="I55" i="11"/>
  <c r="L55" i="11" s="1"/>
  <c r="L56" i="11"/>
  <c r="L57" i="11" s="1"/>
  <c r="I46" i="11"/>
  <c r="G50" i="11"/>
  <c r="J52" i="11"/>
  <c r="G51" i="11"/>
  <c r="I51" i="11" s="1"/>
  <c r="J46" i="11"/>
  <c r="G47" i="11"/>
  <c r="G48" i="11"/>
  <c r="I48" i="11" s="1"/>
  <c r="K52" i="11"/>
  <c r="K53" i="11" s="1"/>
  <c r="H50" i="11"/>
  <c r="K46" i="11"/>
  <c r="K49" i="11" s="1"/>
  <c r="L49" i="11" s="1"/>
  <c r="H51" i="11"/>
  <c r="H47" i="11"/>
  <c r="L38" i="11"/>
  <c r="N38" i="11" s="1"/>
  <c r="L37" i="11"/>
  <c r="N37" i="11" s="1"/>
  <c r="I41" i="11"/>
  <c r="J41" i="11" s="1"/>
  <c r="N34" i="11" l="1"/>
  <c r="N31" i="11" s="1"/>
  <c r="J51" i="11"/>
  <c r="J47" i="11"/>
  <c r="L46" i="11"/>
  <c r="J48" i="11"/>
  <c r="J50" i="11"/>
  <c r="J53" i="11"/>
  <c r="L53" i="11" s="1"/>
  <c r="L52" i="11"/>
  <c r="K51" i="11"/>
  <c r="K47" i="11"/>
  <c r="L47" i="11" s="1"/>
  <c r="K50" i="11"/>
  <c r="I47" i="11"/>
  <c r="I50" i="11"/>
  <c r="L50" i="11" l="1"/>
  <c r="L48" i="11"/>
  <c r="L51" i="11"/>
  <c r="W4" i="2" l="1"/>
  <c r="I14" i="2"/>
  <c r="K14" i="2" s="1"/>
  <c r="M14" i="2" s="1"/>
  <c r="I13" i="2"/>
  <c r="K13" i="2" s="1"/>
  <c r="M13" i="2" s="1"/>
  <c r="I12" i="2"/>
  <c r="K12" i="2" s="1"/>
  <c r="M12" i="2" s="1"/>
  <c r="I11" i="2"/>
  <c r="K11" i="2" s="1"/>
  <c r="M11" i="2" s="1"/>
  <c r="I10" i="2"/>
  <c r="K10" i="2" s="1"/>
  <c r="M10" i="2" s="1"/>
  <c r="I9" i="2"/>
  <c r="K9" i="2" s="1"/>
  <c r="M9" i="2" s="1"/>
  <c r="I8" i="2"/>
  <c r="K8" i="2" s="1"/>
  <c r="M8" i="2" s="1"/>
  <c r="I7" i="2"/>
  <c r="K7" i="2" s="1"/>
  <c r="M7" i="2" s="1"/>
  <c r="I6" i="2"/>
  <c r="K6" i="2" s="1"/>
  <c r="M6" i="2" s="1"/>
  <c r="I5" i="2"/>
  <c r="K5" i="2" s="1"/>
  <c r="M5" i="2" s="1"/>
  <c r="I4" i="2"/>
  <c r="K4" i="2" s="1"/>
  <c r="M4" i="2" s="1"/>
  <c r="AJ11" i="2" l="1"/>
  <c r="I3" i="10" l="1"/>
  <c r="K3" i="10" s="1"/>
  <c r="P3" i="10" s="1"/>
  <c r="Q3" i="10" s="1"/>
  <c r="R3" i="10" s="1"/>
  <c r="I3" i="9"/>
  <c r="K3" i="9" s="1"/>
  <c r="P3" i="9" s="1"/>
  <c r="Q3" i="9" s="1"/>
  <c r="R3" i="9" l="1"/>
  <c r="S3" i="9"/>
  <c r="S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Rogelio Mayo</author>
  </authors>
  <commentList>
    <comment ref="E275" authorId="0" shapeId="0" xr:uid="{A7F0A03E-55F9-45A7-B1D9-AE41E897FF27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confundieron las unidades y el el Volteo de la pera descargo en el camino y vicerversa.</t>
        </r>
      </text>
    </comment>
    <comment ref="E347" authorId="0" shapeId="0" xr:uid="{2F20127F-404F-4DFF-B6F1-BA316C64B350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quedan cargados y al dia siguiente se descarga en la Pera. (Por lluvias intensas)</t>
        </r>
      </text>
    </comment>
    <comment ref="E348" authorId="0" shapeId="0" xr:uid="{BF98F324-FA2D-47E1-8802-7CE880220924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quedan cargados y al dia siguiente se descarga en la Pera. (Por lluvias intensas)</t>
        </r>
      </text>
    </comment>
    <comment ref="E514" authorId="0" shapeId="0" xr:uid="{3CB07576-0AC0-41D7-925D-5F833434A8A1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515" authorId="0" shapeId="0" xr:uid="{34185DCB-7BD0-4E84-8021-DC2A8541A185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516" authorId="0" shapeId="0" xr:uid="{D5E31746-7BB8-45E0-928D-CA11D5AE6BCD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517" authorId="0" shapeId="0" xr:uid="{A8F47BE8-B0E0-4A83-9181-3C81C06DC13F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518" authorId="0" shapeId="0" xr:uid="{CD0C2C43-E11B-447B-953C-F1D35253ACBB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556" authorId="0" shapeId="0" xr:uid="{F3BF680D-F4AB-486D-88D8-07ADE67D59B3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El boleto dice revestimiento</t>
        </r>
      </text>
    </comment>
    <comment ref="E623" authorId="0" shapeId="0" xr:uid="{C0D9AA62-E524-420A-B255-15D54F369FFD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624" authorId="0" shapeId="0" xr:uid="{924BCFF9-5334-44D1-9C4D-EF067036855E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625" authorId="0" shapeId="0" xr:uid="{ED9415DE-48DD-4C39-9D37-5628EB478121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Se realiza el acarreo de la pera al camino. Material almacenado en la Pera. Con volteo propio de Xima XI-05. "BANCO LA JOYA"</t>
        </r>
      </text>
    </comment>
    <comment ref="E690" authorId="0" shapeId="0" xr:uid="{F85EF068-93F1-4BDA-B543-4BC8D9C0C705}">
      <text>
        <r>
          <rPr>
            <b/>
            <sz val="9"/>
            <color indexed="81"/>
            <rFont val="Tahoma"/>
            <charset val="1"/>
          </rPr>
          <t>Rogelio Mayo:</t>
        </r>
        <r>
          <rPr>
            <sz val="9"/>
            <color indexed="81"/>
            <rFont val="Tahoma"/>
            <charset val="1"/>
          </rPr>
          <t xml:space="preserve">
Podria ser 4286 o 4236, esta borroso el folio.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Malcom Ricardo Tello Terres</author>
  </authors>
  <commentList>
    <comment ref="T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Malcom Ricardo Tello Terres:</t>
        </r>
        <r>
          <rPr>
            <sz val="9"/>
            <color indexed="81"/>
            <rFont val="Tahoma"/>
            <family val="2"/>
          </rPr>
          <t xml:space="preserve">
manuel santos
</t>
        </r>
      </text>
    </comment>
    <comment ref="V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Malcom Ricardo Tello Terres:</t>
        </r>
        <r>
          <rPr>
            <sz val="9"/>
            <color indexed="81"/>
            <rFont val="Tahoma"/>
            <family val="2"/>
          </rPr>
          <t xml:space="preserve">
fabian
</t>
        </r>
      </text>
    </comment>
  </commentList>
</comments>
</file>

<file path=xl/sharedStrings.xml><?xml version="1.0" encoding="utf-8"?>
<sst xmlns="http://schemas.openxmlformats.org/spreadsheetml/2006/main" count="7213" uniqueCount="559">
  <si>
    <t>BEC</t>
  </si>
  <si>
    <t xml:space="preserve">MEZCLA ASFALTICA </t>
  </si>
  <si>
    <t>Fecha</t>
  </si>
  <si>
    <t>Cuerpo</t>
  </si>
  <si>
    <t>Seg</t>
  </si>
  <si>
    <t>Carril</t>
  </si>
  <si>
    <t>Capa</t>
  </si>
  <si>
    <t>P.K.
 Inicial</t>
  </si>
  <si>
    <t>P.K.
 Final</t>
  </si>
  <si>
    <t>Longitud
(m)</t>
  </si>
  <si>
    <t>Ancho
 (m)</t>
  </si>
  <si>
    <t>Area (m2)</t>
  </si>
  <si>
    <t>Espesor
(m)</t>
  </si>
  <si>
    <t>Vol. Geometrico</t>
  </si>
  <si>
    <t>COSTO</t>
  </si>
  <si>
    <t>IMPORTE</t>
  </si>
  <si>
    <t>Programa</t>
  </si>
  <si>
    <t>Acumulado Programado</t>
  </si>
  <si>
    <t>Ejecutado</t>
  </si>
  <si>
    <t>Acumulado Ejecutado</t>
  </si>
  <si>
    <t>VOL G. X PV
(ton)</t>
  </si>
  <si>
    <t>Mezcla Utilizada
(ton)</t>
  </si>
  <si>
    <t>Mezcla  producida</t>
  </si>
  <si>
    <t>Mezcla 
p/ bacheo</t>
  </si>
  <si>
    <t>Viajes x camion</t>
  </si>
  <si>
    <t>m3 de produccion</t>
  </si>
  <si>
    <t xml:space="preserve">Espesor por toneladas </t>
  </si>
  <si>
    <t>ESPESOR CAMIONES</t>
  </si>
  <si>
    <t>% ABUND.</t>
  </si>
  <si>
    <t>KG.
AC-20</t>
  </si>
  <si>
    <t>CONTRATISTA</t>
  </si>
  <si>
    <t>OBSERVACS.</t>
  </si>
  <si>
    <t>DIFERENCIA
CAMIONES-TEÓRICO</t>
  </si>
  <si>
    <t>B</t>
  </si>
  <si>
    <t>m3</t>
  </si>
  <si>
    <t>Arena</t>
  </si>
  <si>
    <t>Sello No. 10</t>
  </si>
  <si>
    <t>Escoria</t>
  </si>
  <si>
    <t>Asaflto</t>
  </si>
  <si>
    <t>ton</t>
  </si>
  <si>
    <t>Pipas</t>
  </si>
  <si>
    <t>TON</t>
  </si>
  <si>
    <t>Segmento</t>
  </si>
  <si>
    <t>Franja</t>
  </si>
  <si>
    <t>PROG VS EJECUTADO</t>
  </si>
  <si>
    <t>M2 X EJECUTAR</t>
  </si>
  <si>
    <t>EPAV MEXICO</t>
  </si>
  <si>
    <t>A</t>
  </si>
  <si>
    <t>BAJA</t>
  </si>
  <si>
    <t>Grava 3/4</t>
  </si>
  <si>
    <t>PROYEXTRA</t>
  </si>
  <si>
    <t>del</t>
  </si>
  <si>
    <t>al</t>
  </si>
  <si>
    <t>longitud</t>
  </si>
  <si>
    <t>ancho</t>
  </si>
  <si>
    <t>espesor</t>
  </si>
  <si>
    <t>volumen</t>
  </si>
  <si>
    <t xml:space="preserve">equipos </t>
  </si>
  <si>
    <t>rendimiento</t>
  </si>
  <si>
    <t>turnos</t>
  </si>
  <si>
    <t>inicio</t>
  </si>
  <si>
    <t>fin</t>
  </si>
  <si>
    <t>Subtramo 1</t>
  </si>
  <si>
    <t>Concepto</t>
  </si>
  <si>
    <t>Carpeta 4cm</t>
  </si>
  <si>
    <t>Carpeta 3cm</t>
  </si>
  <si>
    <t>Subtramo 2</t>
  </si>
  <si>
    <t>Fresado 14cm</t>
  </si>
  <si>
    <t>PROGRAMA SEGMENTO 4</t>
  </si>
  <si>
    <t>Base Est. 18cm</t>
  </si>
  <si>
    <t>Subtramo 3</t>
  </si>
  <si>
    <t>Subtramo 4</t>
  </si>
  <si>
    <t>Subtramo 5</t>
  </si>
  <si>
    <t>Subtramo 6</t>
  </si>
  <si>
    <t>Subtramo 7</t>
  </si>
  <si>
    <t>Subtramo 8</t>
  </si>
  <si>
    <t>Subtramo 9</t>
  </si>
  <si>
    <t>Mezcla asf</t>
  </si>
  <si>
    <t>1ra capa</t>
  </si>
  <si>
    <t>2da capa</t>
  </si>
  <si>
    <t>Total</t>
  </si>
  <si>
    <t>Grava 1/2</t>
  </si>
  <si>
    <t>Sello</t>
  </si>
  <si>
    <t>Asfalto</t>
  </si>
  <si>
    <t>Aporte 1 1/2</t>
  </si>
  <si>
    <t>MEZCLA 
ASFALTICA</t>
  </si>
  <si>
    <t xml:space="preserve">Cemento </t>
  </si>
  <si>
    <t>M3c</t>
  </si>
  <si>
    <t>JUNIO</t>
  </si>
  <si>
    <t>JULIO</t>
  </si>
  <si>
    <t>AGOSTO</t>
  </si>
  <si>
    <t>SEPTIEMBRE</t>
  </si>
  <si>
    <t>OCTUBRE</t>
  </si>
  <si>
    <t>NOVIEMBRE</t>
  </si>
  <si>
    <t>DICIEMBRE</t>
  </si>
  <si>
    <t>41.087.5</t>
  </si>
  <si>
    <t>1° Capa</t>
  </si>
  <si>
    <t>2° Capa</t>
  </si>
  <si>
    <t>pendiete x bcheo</t>
  </si>
  <si>
    <t>No.</t>
  </si>
  <si>
    <t>REVESTIMIENTO</t>
  </si>
  <si>
    <t>XIMA</t>
  </si>
  <si>
    <t>CHEQUE FOLIO</t>
  </si>
  <si>
    <t>No. ECONOMICO</t>
  </si>
  <si>
    <t>TIPO DE MATERIAL</t>
  </si>
  <si>
    <t>OPERADOR</t>
  </si>
  <si>
    <t>FECHA REQUISICIÓN</t>
  </si>
  <si>
    <t>EMPRESA (ACARREO)</t>
  </si>
  <si>
    <t>BANCO/ALMACEN</t>
  </si>
  <si>
    <t xml:space="preserve">CAPACIDAD </t>
  </si>
  <si>
    <t>ARENA</t>
  </si>
  <si>
    <t>SAMARIA I</t>
  </si>
  <si>
    <t>0010</t>
  </si>
  <si>
    <t>0003</t>
  </si>
  <si>
    <t>0004</t>
  </si>
  <si>
    <t>0005</t>
  </si>
  <si>
    <t>0006</t>
  </si>
  <si>
    <t>0007</t>
  </si>
  <si>
    <t>0008</t>
  </si>
  <si>
    <t>0009</t>
  </si>
  <si>
    <t>0985</t>
  </si>
  <si>
    <t>0986</t>
  </si>
  <si>
    <t>0987</t>
  </si>
  <si>
    <t>No. REQUISICIÓN</t>
  </si>
  <si>
    <t>C.D.-003/26</t>
  </si>
  <si>
    <t>PLACAS</t>
  </si>
  <si>
    <t>17BE8K</t>
  </si>
  <si>
    <t>MAROGU</t>
  </si>
  <si>
    <t>TC-06</t>
  </si>
  <si>
    <t>UR-119</t>
  </si>
  <si>
    <t>65BK-3H</t>
  </si>
  <si>
    <t>TC-07</t>
  </si>
  <si>
    <t>GUSTAVO HERNANDEZ</t>
  </si>
  <si>
    <t>66BK-3H</t>
  </si>
  <si>
    <t>ENRIQUE MENDOZA</t>
  </si>
  <si>
    <t>67BK-3H</t>
  </si>
  <si>
    <t>TC-05</t>
  </si>
  <si>
    <t>ENRIQUE TORRES</t>
  </si>
  <si>
    <t>CLASIFICACIÓN</t>
  </si>
  <si>
    <t>ENTRADA</t>
  </si>
  <si>
    <t>3497</t>
  </si>
  <si>
    <t>9CNF3-01</t>
  </si>
  <si>
    <t>UR-26</t>
  </si>
  <si>
    <t>FECHA RECEPCIÓN/SALIDA</t>
  </si>
  <si>
    <t>UNIÓN REFORMA</t>
  </si>
  <si>
    <t>YIMI RUIZ</t>
  </si>
  <si>
    <t>ALMACEN UNION</t>
  </si>
  <si>
    <t>SALIDA</t>
  </si>
  <si>
    <t>DESTINO</t>
  </si>
  <si>
    <t>APOYO</t>
  </si>
  <si>
    <t>3498</t>
  </si>
  <si>
    <t>3285</t>
  </si>
  <si>
    <t>DC285-9F</t>
  </si>
  <si>
    <t>ALEJANDRO ACOPA</t>
  </si>
  <si>
    <t>A 3427</t>
  </si>
  <si>
    <t>A 3448</t>
  </si>
  <si>
    <t>A 3455</t>
  </si>
  <si>
    <t>A 3456</t>
  </si>
  <si>
    <t>A 3466</t>
  </si>
  <si>
    <t>A 3478</t>
  </si>
  <si>
    <t>A 3482</t>
  </si>
  <si>
    <t>A 3495</t>
  </si>
  <si>
    <t>38AD7E</t>
  </si>
  <si>
    <t>17DE8K</t>
  </si>
  <si>
    <t>537DW9</t>
  </si>
  <si>
    <t>12BC9P</t>
  </si>
  <si>
    <t>CX0794C</t>
  </si>
  <si>
    <t>99AC95</t>
  </si>
  <si>
    <t>367EP3</t>
  </si>
  <si>
    <t>CW6565D</t>
  </si>
  <si>
    <t xml:space="preserve">38AD7E </t>
  </si>
  <si>
    <t>S/N</t>
  </si>
  <si>
    <t xml:space="preserve">RUBICEL ASCENCIO HIDALGO </t>
  </si>
  <si>
    <t xml:space="preserve">CARLOS MARTÍNEZ HERNÁNDEZ </t>
  </si>
  <si>
    <t xml:space="preserve">ROMAN ASCENCIO DOMÍNGUEZ </t>
  </si>
  <si>
    <t xml:space="preserve">ARTURO RODRÍGUEZ PÉREZ </t>
  </si>
  <si>
    <t xml:space="preserve">DIEGO ASCENCIO </t>
  </si>
  <si>
    <t xml:space="preserve">MANUEL GUZMÁN CRUZ </t>
  </si>
  <si>
    <t xml:space="preserve">JOSE ARTURO MONTELVO </t>
  </si>
  <si>
    <t xml:space="preserve">RIGOBERTO SANCHEZ RODRIGUEZ </t>
  </si>
  <si>
    <t>VYCSA</t>
  </si>
  <si>
    <t>A 3497</t>
  </si>
  <si>
    <t>C.D.-018/26</t>
  </si>
  <si>
    <t>A 3524</t>
  </si>
  <si>
    <t>C.D.-014/26</t>
  </si>
  <si>
    <t>CX5155E</t>
  </si>
  <si>
    <t xml:space="preserve">ARTURO RODRÍGUEZ </t>
  </si>
  <si>
    <t xml:space="preserve">RIGOBERTO SANCHEZ </t>
  </si>
  <si>
    <t xml:space="preserve">INOCENTE ASCENCIO </t>
  </si>
  <si>
    <t xml:space="preserve">17BE8K </t>
  </si>
  <si>
    <t xml:space="preserve">12BC9P </t>
  </si>
  <si>
    <t>367ER3</t>
  </si>
  <si>
    <t>99AC9J</t>
  </si>
  <si>
    <t>537DW</t>
  </si>
  <si>
    <t xml:space="preserve">CARLOS MARTÍNEZ </t>
  </si>
  <si>
    <t xml:space="preserve">MANUEL GUZMÁN </t>
  </si>
  <si>
    <t>UR-104</t>
  </si>
  <si>
    <t>UR-03</t>
  </si>
  <si>
    <t>UR-16</t>
  </si>
  <si>
    <t>UR-07</t>
  </si>
  <si>
    <t>UR-110</t>
  </si>
  <si>
    <t>UR-02</t>
  </si>
  <si>
    <t>UR-35</t>
  </si>
  <si>
    <t xml:space="preserve">DAVID LÓPEZ </t>
  </si>
  <si>
    <t xml:space="preserve">JOSE CÓRDOVA </t>
  </si>
  <si>
    <t xml:space="preserve">ANGEL ÁLVAREZ </t>
  </si>
  <si>
    <t xml:space="preserve">JESÚS LORENZO </t>
  </si>
  <si>
    <t xml:space="preserve">FLAVIO MARTÍNEZ </t>
  </si>
  <si>
    <t xml:space="preserve">WILBER JIMÉNEZ </t>
  </si>
  <si>
    <t xml:space="preserve">ARTURO MONTELVO </t>
  </si>
  <si>
    <t xml:space="preserve">RICARDO MARTÍNEZ </t>
  </si>
  <si>
    <t>TRAMO</t>
  </si>
  <si>
    <t>C.D.-019/26</t>
  </si>
  <si>
    <t xml:space="preserve">ALEJANDRO ACOPA </t>
  </si>
  <si>
    <t xml:space="preserve">ÁNGEL ÁLVAREZ </t>
  </si>
  <si>
    <t xml:space="preserve">YIMI RUIZ </t>
  </si>
  <si>
    <t xml:space="preserve">ANTONIO DE LOS SANTOS </t>
  </si>
  <si>
    <t>UR-102</t>
  </si>
  <si>
    <t>UR-136</t>
  </si>
  <si>
    <t>A 3549</t>
  </si>
  <si>
    <t>A 3555</t>
  </si>
  <si>
    <t>9CNF305</t>
  </si>
  <si>
    <t>9CNF301</t>
  </si>
  <si>
    <t>CW9535F</t>
  </si>
  <si>
    <t>DC32668</t>
  </si>
  <si>
    <t>DC2403F</t>
  </si>
  <si>
    <t>9CNF328</t>
  </si>
  <si>
    <t>DC2859F</t>
  </si>
  <si>
    <t>DA8443F</t>
  </si>
  <si>
    <t>CZ616H</t>
  </si>
  <si>
    <t>9CNF 301</t>
  </si>
  <si>
    <t>9CNF 314</t>
  </si>
  <si>
    <t>BC2859C</t>
  </si>
  <si>
    <t>116</t>
  </si>
  <si>
    <t>4GJ972A</t>
  </si>
  <si>
    <t>ANGEL</t>
  </si>
  <si>
    <t>171</t>
  </si>
  <si>
    <t>166</t>
  </si>
  <si>
    <t>102</t>
  </si>
  <si>
    <t>CARLOS MARTINEZ</t>
  </si>
  <si>
    <t>172</t>
  </si>
  <si>
    <t>173</t>
  </si>
  <si>
    <t>CV6744D</t>
  </si>
  <si>
    <t>UR31315</t>
  </si>
  <si>
    <t>486DW9</t>
  </si>
  <si>
    <t>DA3751G</t>
  </si>
  <si>
    <t>UR-211</t>
  </si>
  <si>
    <t>UR-30</t>
  </si>
  <si>
    <t>UR-100</t>
  </si>
  <si>
    <t>UR-40</t>
  </si>
  <si>
    <t>RANCHO NUEVO</t>
  </si>
  <si>
    <t>A 3994</t>
  </si>
  <si>
    <t>A 3993</t>
  </si>
  <si>
    <t>CY9761C</t>
  </si>
  <si>
    <t>9CNF316</t>
  </si>
  <si>
    <t>9CNF324</t>
  </si>
  <si>
    <t>9CNF321</t>
  </si>
  <si>
    <t>9CNF312</t>
  </si>
  <si>
    <t>C26160H</t>
  </si>
  <si>
    <t>UR-08</t>
  </si>
  <si>
    <t>UR-55</t>
  </si>
  <si>
    <t>UR-210</t>
  </si>
  <si>
    <t>UR-209</t>
  </si>
  <si>
    <t>UR-120</t>
  </si>
  <si>
    <t xml:space="preserve">LUIS ANGEL ASCENCIO </t>
  </si>
  <si>
    <t xml:space="preserve">ROSARIO GARCÍA RUIZ </t>
  </si>
  <si>
    <t xml:space="preserve">WUILVER JIMÉNEZ </t>
  </si>
  <si>
    <t xml:space="preserve">EDUARDO RODRÍGUEZ </t>
  </si>
  <si>
    <t xml:space="preserve">GERARDO MENDIOLA </t>
  </si>
  <si>
    <t xml:space="preserve">JAVIER LARA CRUZ </t>
  </si>
  <si>
    <t xml:space="preserve">JOSE ATILA </t>
  </si>
  <si>
    <t>HUMBERTO CONTREROS</t>
  </si>
  <si>
    <t xml:space="preserve">JULIO CESAR LÓPEZ </t>
  </si>
  <si>
    <t xml:space="preserve">SAMUEL MINGO </t>
  </si>
  <si>
    <t xml:space="preserve">JAVIER ASCENCIO </t>
  </si>
  <si>
    <t>DA0630J</t>
  </si>
  <si>
    <t>480DW9</t>
  </si>
  <si>
    <t>CX6404F</t>
  </si>
  <si>
    <t>UR-103</t>
  </si>
  <si>
    <t>UR-57</t>
  </si>
  <si>
    <t xml:space="preserve">DANIEL RAMÍREZ </t>
  </si>
  <si>
    <t xml:space="preserve">ROMAN ASCENCIO </t>
  </si>
  <si>
    <t xml:space="preserve">FERNANDO ASCENCIO </t>
  </si>
  <si>
    <t xml:space="preserve">HUMBERTO CONTREROS </t>
  </si>
  <si>
    <t>VR31315</t>
  </si>
  <si>
    <t>9CNF205</t>
  </si>
  <si>
    <t xml:space="preserve">UR-55 </t>
  </si>
  <si>
    <t xml:space="preserve">JOSÉ CÓRDOVA </t>
  </si>
  <si>
    <t xml:space="preserve">ROSARIO GARCÍA </t>
  </si>
  <si>
    <t xml:space="preserve">99AC9J </t>
  </si>
  <si>
    <t xml:space="preserve">JOSÉ ARTURO MONTELVO </t>
  </si>
  <si>
    <t>CV0629K</t>
  </si>
  <si>
    <t xml:space="preserve">EDUARDO LÓPEZ VIDAL </t>
  </si>
  <si>
    <t>A 4349</t>
  </si>
  <si>
    <t>A 4590</t>
  </si>
  <si>
    <t>A 4526</t>
  </si>
  <si>
    <t>CU6744D</t>
  </si>
  <si>
    <t>DA3751</t>
  </si>
  <si>
    <t>DC2310F</t>
  </si>
  <si>
    <t>4CNF413</t>
  </si>
  <si>
    <t>CW9263</t>
  </si>
  <si>
    <t>9CNF 320</t>
  </si>
  <si>
    <t>4CNE414</t>
  </si>
  <si>
    <t>UR-99</t>
  </si>
  <si>
    <t>UR-220</t>
  </si>
  <si>
    <t>UR-82</t>
  </si>
  <si>
    <t>UR-22</t>
  </si>
  <si>
    <t>UR-95</t>
  </si>
  <si>
    <t xml:space="preserve">LUCIO ASCENCIO </t>
  </si>
  <si>
    <t xml:space="preserve">ANTONIO MONTALVO </t>
  </si>
  <si>
    <t>RAÚL MEZA</t>
  </si>
  <si>
    <t xml:space="preserve">SALOMON ASCENCIO </t>
  </si>
  <si>
    <t xml:space="preserve">CASTAÑEDA </t>
  </si>
  <si>
    <t xml:space="preserve">JOSE REYES </t>
  </si>
  <si>
    <t xml:space="preserve">MARIO MARTÍNEZ </t>
  </si>
  <si>
    <t>LA JOYA</t>
  </si>
  <si>
    <t xml:space="preserve">ENRIQUE TORRES </t>
  </si>
  <si>
    <t xml:space="preserve">GUSTAVO HERNÁNDEZ </t>
  </si>
  <si>
    <t>ARMANDO URIARTE</t>
  </si>
  <si>
    <t>A 4985</t>
  </si>
  <si>
    <t>9CNF320</t>
  </si>
  <si>
    <t>CW0444C</t>
  </si>
  <si>
    <t>CW5746B</t>
  </si>
  <si>
    <t>4CNF 414</t>
  </si>
  <si>
    <t>UR-01</t>
  </si>
  <si>
    <t xml:space="preserve">ALBERTO OVANDO </t>
  </si>
  <si>
    <t>MARLON</t>
  </si>
  <si>
    <t xml:space="preserve">RAFAEL MARTÍNEZ </t>
  </si>
  <si>
    <t>38AB7E</t>
  </si>
  <si>
    <t xml:space="preserve">CARLOS MIGUEL </t>
  </si>
  <si>
    <t>A 5057</t>
  </si>
  <si>
    <t>DC1931F</t>
  </si>
  <si>
    <t>9CNF329</t>
  </si>
  <si>
    <t>PC1931F</t>
  </si>
  <si>
    <t xml:space="preserve">UR-82 </t>
  </si>
  <si>
    <t>UR-117</t>
  </si>
  <si>
    <t>UR-11</t>
  </si>
  <si>
    <t xml:space="preserve">JUAN DE DIOS P </t>
  </si>
  <si>
    <t xml:space="preserve">CARMELO MARTÍNEZ </t>
  </si>
  <si>
    <t xml:space="preserve">JOSE ANTONIO RUIZ </t>
  </si>
  <si>
    <t>UR-97</t>
  </si>
  <si>
    <t>FREDDY ASCENCIO C.</t>
  </si>
  <si>
    <t>JOSE ANTONIO RUIZ</t>
  </si>
  <si>
    <t>A 5549</t>
  </si>
  <si>
    <t xml:space="preserve">CARLOS MIGUEL DE LA FUENTE CÓRDOVA </t>
  </si>
  <si>
    <t>CX51551</t>
  </si>
  <si>
    <t>CADENAMIENTO INICIAL</t>
  </si>
  <si>
    <t>CADENAMIENTO FINAL</t>
  </si>
  <si>
    <t>0072</t>
  </si>
  <si>
    <t>0066</t>
  </si>
  <si>
    <t>0059</t>
  </si>
  <si>
    <t>0055</t>
  </si>
  <si>
    <t>0075</t>
  </si>
  <si>
    <t>0071</t>
  </si>
  <si>
    <t>0065</t>
  </si>
  <si>
    <t>0058</t>
  </si>
  <si>
    <t>0054</t>
  </si>
  <si>
    <t>0069</t>
  </si>
  <si>
    <t>0053</t>
  </si>
  <si>
    <t>0062</t>
  </si>
  <si>
    <t>0051</t>
  </si>
  <si>
    <t>0078</t>
  </si>
  <si>
    <t>DA0628J</t>
  </si>
  <si>
    <t>UR-S/N</t>
  </si>
  <si>
    <t xml:space="preserve">JESÚS MONTALVO </t>
  </si>
  <si>
    <t>DA317G</t>
  </si>
  <si>
    <t>9CNF314</t>
  </si>
  <si>
    <t>CZ6160H</t>
  </si>
  <si>
    <t>9CDF314</t>
  </si>
  <si>
    <t xml:space="preserve">RICARDO MARTÍNEZ VIDAL </t>
  </si>
  <si>
    <t xml:space="preserve">ARTURO SANTOS GONZÁLEZ </t>
  </si>
  <si>
    <t xml:space="preserve">JESÚS LORENZO MONTALVO </t>
  </si>
  <si>
    <t xml:space="preserve">ANTONIO SANTOS GONZÁLEZ </t>
  </si>
  <si>
    <t xml:space="preserve">ALGEL ÁLVAREZ </t>
  </si>
  <si>
    <t xml:space="preserve">79AN6N </t>
  </si>
  <si>
    <t>486CW9</t>
  </si>
  <si>
    <t>4CNE413</t>
  </si>
  <si>
    <t>CW9263F</t>
  </si>
  <si>
    <t>9CNF334</t>
  </si>
  <si>
    <t>UR-200</t>
  </si>
  <si>
    <t xml:space="preserve">UR-40 </t>
  </si>
  <si>
    <t>UR-38</t>
  </si>
  <si>
    <t xml:space="preserve">HUGO SÁNCHEZ </t>
  </si>
  <si>
    <t xml:space="preserve">ALEJANDRO ACOPA FLORES </t>
  </si>
  <si>
    <t>DANIEL RAMÍREZ G.</t>
  </si>
  <si>
    <t xml:space="preserve">GUILLERMO RUIZ </t>
  </si>
  <si>
    <t xml:space="preserve">JESÚS LÓPEZ VIDAL </t>
  </si>
  <si>
    <t>DR31315</t>
  </si>
  <si>
    <t>CWO444C</t>
  </si>
  <si>
    <t xml:space="preserve">ANTONIO SANTOS </t>
  </si>
  <si>
    <t xml:space="preserve">WILBERT  JIMÉNEZ HERNÁNDEZ </t>
  </si>
  <si>
    <t>0074</t>
  </si>
  <si>
    <t>0063</t>
  </si>
  <si>
    <t>0056</t>
  </si>
  <si>
    <t>0067</t>
  </si>
  <si>
    <t>0060</t>
  </si>
  <si>
    <t>0073</t>
  </si>
  <si>
    <t>0077</t>
  </si>
  <si>
    <t>0052</t>
  </si>
  <si>
    <t>0076</t>
  </si>
  <si>
    <t>0087</t>
  </si>
  <si>
    <t>0057</t>
  </si>
  <si>
    <t>0081</t>
  </si>
  <si>
    <t>0064</t>
  </si>
  <si>
    <t>0084</t>
  </si>
  <si>
    <t>0083</t>
  </si>
  <si>
    <t>0068</t>
  </si>
  <si>
    <t>0061</t>
  </si>
  <si>
    <t>0070</t>
  </si>
  <si>
    <t>0079</t>
  </si>
  <si>
    <t>0085</t>
  </si>
  <si>
    <t>0082</t>
  </si>
  <si>
    <t>0080</t>
  </si>
  <si>
    <t>0102</t>
  </si>
  <si>
    <t>0103</t>
  </si>
  <si>
    <t>0104</t>
  </si>
  <si>
    <t>0133</t>
  </si>
  <si>
    <t>0108</t>
  </si>
  <si>
    <t>0107</t>
  </si>
  <si>
    <t>0122</t>
  </si>
  <si>
    <t>0123</t>
  </si>
  <si>
    <t>0124</t>
  </si>
  <si>
    <t>0140</t>
  </si>
  <si>
    <t>0125</t>
  </si>
  <si>
    <t>0120</t>
  </si>
  <si>
    <t>0121</t>
  </si>
  <si>
    <t>0145</t>
  </si>
  <si>
    <t>0141</t>
  </si>
  <si>
    <t>0119</t>
  </si>
  <si>
    <t>0118</t>
  </si>
  <si>
    <t>0109</t>
  </si>
  <si>
    <t>0106</t>
  </si>
  <si>
    <t>0112</t>
  </si>
  <si>
    <t>0086</t>
  </si>
  <si>
    <t>0105</t>
  </si>
  <si>
    <t>0113</t>
  </si>
  <si>
    <t>0136</t>
  </si>
  <si>
    <t>0138</t>
  </si>
  <si>
    <t>0128</t>
  </si>
  <si>
    <t>0144</t>
  </si>
  <si>
    <t>0137</t>
  </si>
  <si>
    <t>0139</t>
  </si>
  <si>
    <t>0110</t>
  </si>
  <si>
    <t>0114</t>
  </si>
  <si>
    <t>0131</t>
  </si>
  <si>
    <t>0111</t>
  </si>
  <si>
    <t>0115</t>
  </si>
  <si>
    <t>0130</t>
  </si>
  <si>
    <t>0126</t>
  </si>
  <si>
    <t>0146</t>
  </si>
  <si>
    <t>0142</t>
  </si>
  <si>
    <t>0134</t>
  </si>
  <si>
    <t>0132</t>
  </si>
  <si>
    <t>0129</t>
  </si>
  <si>
    <t>0135</t>
  </si>
  <si>
    <t>0143</t>
  </si>
  <si>
    <t>3547/2088</t>
  </si>
  <si>
    <t>OC PROTEXA-SERCONTER</t>
  </si>
  <si>
    <t>OC-6559</t>
  </si>
  <si>
    <t>OC-6582</t>
  </si>
  <si>
    <t>DB7289C</t>
  </si>
  <si>
    <t xml:space="preserve">EDUARDO CHABLE </t>
  </si>
  <si>
    <t>DC5124C</t>
  </si>
  <si>
    <t>DA7229C</t>
  </si>
  <si>
    <t>UR-18</t>
  </si>
  <si>
    <t>UR-177</t>
  </si>
  <si>
    <t xml:space="preserve">CARLOS PERALTA </t>
  </si>
  <si>
    <t>JUAN DE DIOS PITALVA</t>
  </si>
  <si>
    <t>DC1831F</t>
  </si>
  <si>
    <t xml:space="preserve">DAVID OVANDO JACINTO </t>
  </si>
  <si>
    <t xml:space="preserve">WILBERT JIMÉNEZ HERNÁNDEZ </t>
  </si>
  <si>
    <t>CW0363C</t>
  </si>
  <si>
    <t>FC1931F</t>
  </si>
  <si>
    <t xml:space="preserve">MANUEL RIVERA </t>
  </si>
  <si>
    <t>DC5124J</t>
  </si>
  <si>
    <t>DC2359F</t>
  </si>
  <si>
    <t>CW9535</t>
  </si>
  <si>
    <t xml:space="preserve">JUAN DE DIOS PITALVA </t>
  </si>
  <si>
    <t>ANGEL GABRIEL ALVAREZ LOPEZ</t>
  </si>
  <si>
    <t>XI-05</t>
  </si>
  <si>
    <t>VR-6491-C</t>
  </si>
  <si>
    <t>PERA</t>
  </si>
  <si>
    <t>9CNF318</t>
  </si>
  <si>
    <t>UR-46</t>
  </si>
  <si>
    <t>UR-09</t>
  </si>
  <si>
    <t xml:space="preserve">JAVIER LARA </t>
  </si>
  <si>
    <t>RICARDO MARTÍNEZ VIDAL</t>
  </si>
  <si>
    <t xml:space="preserve">JULIO CESAR LÓPEZ VIDAL </t>
  </si>
  <si>
    <t xml:space="preserve">FREDDY ASCENCIO </t>
  </si>
  <si>
    <t xml:space="preserve">WILBERT JIMÉNEZ </t>
  </si>
  <si>
    <t>FREDDY ASCENCIO CONTRERAS</t>
  </si>
  <si>
    <t>CY9161C</t>
  </si>
  <si>
    <t>OC-6561</t>
  </si>
  <si>
    <t>DA2794F</t>
  </si>
  <si>
    <t>UR-25</t>
  </si>
  <si>
    <t>CZ6169H</t>
  </si>
  <si>
    <t>OC-6920</t>
  </si>
  <si>
    <t>C.D.-007/26</t>
  </si>
  <si>
    <t>C.D.-070/26</t>
  </si>
  <si>
    <t>A 5307</t>
  </si>
  <si>
    <t>A 5719</t>
  </si>
  <si>
    <t>A 5709</t>
  </si>
  <si>
    <t xml:space="preserve">36BK3H </t>
  </si>
  <si>
    <t>35BK3H</t>
  </si>
  <si>
    <t xml:space="preserve">TC-06 </t>
  </si>
  <si>
    <t xml:space="preserve">TC-07 </t>
  </si>
  <si>
    <t xml:space="preserve">DANIEL ASCENCIO CASTRO </t>
  </si>
  <si>
    <t>C.D.-081/26</t>
  </si>
  <si>
    <t>18AN3D</t>
  </si>
  <si>
    <t xml:space="preserve">ELIAZAR DOMÍNGUEZ CASTILLO </t>
  </si>
  <si>
    <t xml:space="preserve">18AN3D </t>
  </si>
  <si>
    <t>3</t>
  </si>
  <si>
    <t xml:space="preserve">66BK3H </t>
  </si>
  <si>
    <t>C.D.-073/26</t>
  </si>
  <si>
    <t xml:space="preserve">65BK3H </t>
  </si>
  <si>
    <t>4272/162</t>
  </si>
  <si>
    <t>4274/158</t>
  </si>
  <si>
    <t>4266/151</t>
  </si>
  <si>
    <t>4261/154</t>
  </si>
  <si>
    <t>4273/155</t>
  </si>
  <si>
    <t>4267/157</t>
  </si>
  <si>
    <t>17AU4D</t>
  </si>
  <si>
    <t>17AU4H</t>
  </si>
  <si>
    <t xml:space="preserve">17AU4H </t>
  </si>
  <si>
    <t>CX5155D</t>
  </si>
  <si>
    <t>CE6565D</t>
  </si>
  <si>
    <t>JAVIER GARCÍA CHABLE</t>
  </si>
  <si>
    <t xml:space="preserve">ELIAZAR DOMÍNGUEZ </t>
  </si>
  <si>
    <t xml:space="preserve">ROMÁN ASCENCIO DOMÍNGUEZ </t>
  </si>
  <si>
    <t xml:space="preserve">RUBICEL ASCENCIO </t>
  </si>
  <si>
    <t>ESCUDERO</t>
  </si>
  <si>
    <t>160/4278</t>
  </si>
  <si>
    <t xml:space="preserve">JAVIER GARCÍA </t>
  </si>
  <si>
    <t xml:space="preserve">FRANCISCO OLAN CONTRERAS </t>
  </si>
  <si>
    <t>9CNH321</t>
  </si>
  <si>
    <t>DC5112J</t>
  </si>
  <si>
    <t xml:space="preserve">MARIA MARTÍNEZ </t>
  </si>
  <si>
    <t xml:space="preserve">EDUARDO MARTÍNEZ </t>
  </si>
  <si>
    <t xml:space="preserve">ENRIQUE VAZQUEZ </t>
  </si>
  <si>
    <t xml:space="preserve">VICTORIA MARTÍNEZ </t>
  </si>
  <si>
    <t>01AR8N</t>
  </si>
  <si>
    <t>TR-02</t>
  </si>
  <si>
    <t xml:space="preserve">JESÚS ANTONIO JUÁREZ </t>
  </si>
  <si>
    <t xml:space="preserve">TR-02 </t>
  </si>
  <si>
    <t xml:space="preserve">01AR8N </t>
  </si>
  <si>
    <t xml:space="preserve">ÁNGEL GABRIEL ÁLVAREZ </t>
  </si>
  <si>
    <t>OC-6583</t>
  </si>
  <si>
    <t>CW95335</t>
  </si>
  <si>
    <t xml:space="preserve">LUCIÓ ASCENCIO </t>
  </si>
  <si>
    <t xml:space="preserve">MANUEL CASTAÑEDA </t>
  </si>
  <si>
    <t xml:space="preserve">LUIS ASCENCIO </t>
  </si>
  <si>
    <t>4CNF421</t>
  </si>
  <si>
    <t>UR-96</t>
  </si>
  <si>
    <t xml:space="preserve">38AB7E </t>
  </si>
  <si>
    <t>17AV4H</t>
  </si>
  <si>
    <t xml:space="preserve">JAVIER GARCÍA CHABLE </t>
  </si>
  <si>
    <t xml:space="preserve">MIGUEL ALBERTO ALEGRÍA </t>
  </si>
  <si>
    <t xml:space="preserve">ENRIQUE TORRES MENDOZA </t>
  </si>
  <si>
    <t xml:space="preserve"> UR-35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</si>
</sst>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$&quot;#,##0.00;[Red]\-&quot;$&quot;#,##0.0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&quot;km&quot;\ 0\+000"/>
    <numFmt numFmtId="166" formatCode="[$-80A]dddd\,\ dd&quot; de &quot;mmmm&quot; de &quot;yyyy;@"/>
    <numFmt numFmtId="167" formatCode="000\+000"/>
    <numFmt numFmtId="168" formatCode="_-* #,##0.0_-;\-* #,##0.0_-;_-* &quot;-&quot;??_-;_-@_-"/>
    <numFmt numFmtId="169" formatCode="_-* #,##0.000_-;\-* #,##0.000_-;_-* &quot;-&quot;??_-;_-@_-"/>
    <numFmt numFmtId="170" formatCode="dd"/>
    <numFmt numFmtId="171" formatCode="dd/mmm"/>
    <numFmt numFmtId="172" formatCode="ddd"/>
    <numFmt numFmtId="173" formatCode="_(&quot;$&quot;* #,##0.00_);_(&quot;$&quot;* \(#,##0.00\);_(&quot;$&quot;* &quot;-&quot;??_);_(@_)"/>
    <numFmt numFmtId="174" formatCode="#,##0.000"/>
    <numFmt numFmtId="175" formatCode="_-[$€-2]* #,##0.00_-;\-[$€-2]* #,##0.00_-;_-[$€-2]* &quot;-&quot;??_-"/>
    <numFmt numFmtId="176" formatCode="#,##0.00_ ;\-#,##0.00\ "/>
    <numFmt numFmtId="177" formatCode="[$-80A]d&quot; de &quot;mmmm&quot; de &quot;yyyy;@"/>
    <numFmt numFmtId="178" formatCode="0.000\ &quot;Km&quot;"/>
    <numFmt numFmtId="179" formatCode="_(* #,##0.000_);_(* \(#,##0.000\);_(* &quot;-&quot;??_);_(@_)"/>
    <numFmt numFmtId="180" formatCode="&quot;&quot;0"/>
    <numFmt numFmtId="181" formatCode="&quot;KM&quot;\ 0\+00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Montserrat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8"/>
      <name val="Calibri"/>
      <family val="2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b/>
      <sz val="18"/>
      <color indexed="62"/>
      <name val="Cambria"/>
      <family val="2"/>
    </font>
    <font>
      <sz val="11"/>
      <color theme="1"/>
      <name val="Arial"/>
      <family val="2"/>
    </font>
    <font>
      <sz val="10"/>
      <color theme="0"/>
      <name val="AvantGarde Md BT"/>
    </font>
    <font>
      <sz val="10"/>
      <name val="AvantGarde Md BT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vantGarde Md BT"/>
    </font>
    <font>
      <sz val="10"/>
      <color theme="1"/>
      <name val="AvantGarde Md BT"/>
    </font>
  </fonts>
  <fills count="4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  <xf numFmtId="0" fontId="16" fillId="10" borderId="19" applyNumberFormat="0" applyFont="0" applyAlignment="0" applyProtection="0"/>
    <xf numFmtId="0" fontId="17" fillId="0" borderId="0"/>
    <xf numFmtId="0" fontId="1" fillId="0" borderId="0"/>
    <xf numFmtId="0" fontId="15" fillId="0" borderId="0"/>
    <xf numFmtId="0" fontId="18" fillId="0" borderId="0"/>
    <xf numFmtId="173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/>
    <xf numFmtId="0" fontId="15" fillId="0" borderId="0"/>
    <xf numFmtId="44" fontId="15" fillId="0" borderId="0" applyFont="0" applyFill="0" applyBorder="0" applyAlignment="0" applyProtection="0"/>
    <xf numFmtId="0" fontId="20" fillId="0" borderId="0"/>
    <xf numFmtId="0" fontId="15" fillId="0" borderId="0"/>
    <xf numFmtId="44" fontId="16" fillId="0" borderId="0" applyFont="0" applyFill="0" applyBorder="0" applyAlignment="0" applyProtection="0"/>
    <xf numFmtId="0" fontId="19" fillId="0" borderId="0"/>
    <xf numFmtId="0" fontId="15" fillId="0" borderId="0"/>
    <xf numFmtId="0" fontId="15" fillId="0" borderId="0"/>
    <xf numFmtId="0" fontId="21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8" borderId="0" applyNumberFormat="0" applyBorder="0" applyAlignment="0" applyProtection="0"/>
    <xf numFmtId="0" fontId="26" fillId="12" borderId="0" applyNumberFormat="0" applyBorder="0" applyAlignment="0" applyProtection="0"/>
    <xf numFmtId="0" fontId="27" fillId="29" borderId="20" applyNumberFormat="0" applyAlignment="0" applyProtection="0"/>
    <xf numFmtId="0" fontId="28" fillId="30" borderId="21" applyNumberFormat="0" applyAlignment="0" applyProtection="0"/>
    <xf numFmtId="43" fontId="15" fillId="0" borderId="0" applyFont="0" applyFill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5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5" fillId="38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5" fillId="37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5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5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5" fillId="41" borderId="0" applyNumberFormat="0" applyBorder="0" applyAlignment="0" applyProtection="0"/>
    <xf numFmtId="175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13" borderId="0" applyNumberFormat="0" applyBorder="0" applyAlignment="0" applyProtection="0"/>
    <xf numFmtId="0" fontId="31" fillId="0" borderId="23" applyNumberFormat="0" applyFill="0" applyAlignment="0" applyProtection="0"/>
    <xf numFmtId="0" fontId="32" fillId="0" borderId="24" applyNumberFormat="0" applyFill="0" applyAlignment="0" applyProtection="0"/>
    <xf numFmtId="0" fontId="33" fillId="0" borderId="25" applyNumberFormat="0" applyFill="0" applyAlignment="0" applyProtection="0"/>
    <xf numFmtId="0" fontId="33" fillId="0" borderId="0" applyNumberFormat="0" applyFill="0" applyBorder="0" applyAlignment="0" applyProtection="0"/>
    <xf numFmtId="0" fontId="34" fillId="16" borderId="20" applyNumberFormat="0" applyAlignment="0" applyProtection="0"/>
    <xf numFmtId="0" fontId="35" fillId="0" borderId="22" applyNumberFormat="0" applyFill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8" fontId="15" fillId="0" borderId="0" applyFont="0" applyFill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Protection="0"/>
    <xf numFmtId="43" fontId="1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8" fontId="15" fillId="0" borderId="0" applyFont="0" applyFill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174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44" fontId="44" fillId="0" borderId="0" applyFont="0" applyFill="0" applyBorder="0" applyAlignment="0" applyProtection="0"/>
    <xf numFmtId="44" fontId="15" fillId="0" borderId="0" applyFont="0" applyFill="0" applyBorder="0" applyAlignment="0" applyProtection="0"/>
    <xf numFmtId="12" fontId="15" fillId="0" borderId="0" applyFont="0" applyFill="0" applyProtection="0"/>
    <xf numFmtId="8" fontId="15" fillId="0" borderId="0" applyFont="0" applyFill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7" fontId="2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42" fillId="42" borderId="0" applyNumberFormat="0" applyBorder="0" applyAlignment="0" applyProtection="0"/>
    <xf numFmtId="0" fontId="40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>
      <alignment horizontal="justify" vertical="center" textRotation="90" wrapText="1"/>
    </xf>
    <xf numFmtId="0" fontId="24" fillId="0" borderId="0"/>
    <xf numFmtId="0" fontId="40" fillId="0" borderId="0"/>
    <xf numFmtId="0" fontId="24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" fillId="0" borderId="0"/>
    <xf numFmtId="0" fontId="24" fillId="43" borderId="26" applyNumberFormat="0" applyFont="0" applyAlignment="0" applyProtection="0"/>
    <xf numFmtId="0" fontId="36" fillId="29" borderId="27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28" applyNumberFormat="0" applyFill="0" applyAlignment="0" applyProtection="0"/>
    <xf numFmtId="0" fontId="38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2" xfId="0" applyBorder="1"/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4" fontId="2" fillId="4" borderId="5" xfId="1" applyNumberFormat="1" applyFont="1" applyFill="1" applyBorder="1" applyAlignment="1">
      <alignment horizontal="left" vertical="center"/>
    </xf>
    <xf numFmtId="165" fontId="2" fillId="4" borderId="5" xfId="0" applyNumberFormat="1" applyFont="1" applyFill="1" applyBorder="1" applyAlignment="1">
      <alignment horizontal="center" vertical="center" wrapText="1"/>
    </xf>
    <xf numFmtId="43" fontId="2" fillId="4" borderId="5" xfId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/>
    <xf numFmtId="164" fontId="5" fillId="5" borderId="2" xfId="1" applyNumberFormat="1" applyFont="1" applyFill="1" applyBorder="1"/>
    <xf numFmtId="166" fontId="5" fillId="5" borderId="2" xfId="0" applyNumberFormat="1" applyFont="1" applyFill="1" applyBorder="1" applyAlignment="1">
      <alignment horizontal="center" vertical="center"/>
    </xf>
    <xf numFmtId="43" fontId="5" fillId="5" borderId="2" xfId="1" applyFont="1" applyFill="1" applyBorder="1"/>
    <xf numFmtId="43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7" fillId="0" borderId="0" xfId="0" applyFont="1" applyAlignment="1">
      <alignment horizontal="left" vertical="top"/>
    </xf>
    <xf numFmtId="9" fontId="0" fillId="0" borderId="0" xfId="2" applyFont="1"/>
    <xf numFmtId="2" fontId="0" fillId="0" borderId="0" xfId="0" applyNumberFormat="1" applyAlignment="1">
      <alignment horizontal="center" vertical="center"/>
    </xf>
    <xf numFmtId="9" fontId="0" fillId="0" borderId="0" xfId="0" applyNumberFormat="1"/>
    <xf numFmtId="0" fontId="5" fillId="5" borderId="2" xfId="1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vertical="center"/>
    </xf>
    <xf numFmtId="2" fontId="5" fillId="5" borderId="2" xfId="1" applyNumberFormat="1" applyFont="1" applyFill="1" applyBorder="1" applyAlignment="1">
      <alignment horizontal="center" vertical="center"/>
    </xf>
    <xf numFmtId="3" fontId="5" fillId="5" borderId="2" xfId="1" applyNumberFormat="1" applyFont="1" applyFill="1" applyBorder="1" applyAlignment="1">
      <alignment horizontal="center" vertical="center"/>
    </xf>
    <xf numFmtId="43" fontId="5" fillId="5" borderId="2" xfId="1" applyFont="1" applyFill="1" applyBorder="1" applyAlignment="1">
      <alignment horizontal="center" vertical="center"/>
    </xf>
    <xf numFmtId="164" fontId="5" fillId="5" borderId="2" xfId="1" applyNumberFormat="1" applyFont="1" applyFill="1" applyBorder="1" applyAlignment="1">
      <alignment horizontal="center" vertical="center"/>
    </xf>
    <xf numFmtId="0" fontId="5" fillId="5" borderId="2" xfId="3" applyNumberFormat="1" applyFont="1" applyFill="1" applyBorder="1" applyAlignment="1">
      <alignment horizontal="center" vertical="center"/>
    </xf>
    <xf numFmtId="168" fontId="5" fillId="5" borderId="2" xfId="1" applyNumberFormat="1" applyFont="1" applyFill="1" applyBorder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6" borderId="0" xfId="0" applyFont="1" applyFill="1" applyAlignment="1">
      <alignment horizontal="center"/>
    </xf>
    <xf numFmtId="0" fontId="6" fillId="6" borderId="0" xfId="0" applyFont="1" applyFill="1"/>
    <xf numFmtId="170" fontId="0" fillId="4" borderId="0" xfId="0" applyNumberFormat="1" applyFill="1"/>
    <xf numFmtId="0" fontId="12" fillId="3" borderId="0" xfId="0" applyFont="1" applyFill="1" applyAlignment="1">
      <alignment horizontal="left"/>
    </xf>
    <xf numFmtId="0" fontId="11" fillId="3" borderId="0" xfId="0" applyFont="1" applyFill="1"/>
    <xf numFmtId="0" fontId="13" fillId="3" borderId="0" xfId="0" applyFont="1" applyFill="1" applyAlignment="1">
      <alignment horizontal="center"/>
    </xf>
    <xf numFmtId="171" fontId="14" fillId="3" borderId="0" xfId="0" applyNumberFormat="1" applyFont="1" applyFill="1"/>
    <xf numFmtId="172" fontId="9" fillId="0" borderId="0" xfId="0" applyNumberFormat="1" applyFont="1"/>
    <xf numFmtId="0" fontId="14" fillId="0" borderId="0" xfId="0" applyFont="1" applyAlignment="1">
      <alignment horizontal="left" vertical="center"/>
    </xf>
    <xf numFmtId="0" fontId="10" fillId="9" borderId="0" xfId="0" applyFont="1" applyFill="1" applyAlignment="1">
      <alignment horizontal="right" vertical="center"/>
    </xf>
    <xf numFmtId="0" fontId="10" fillId="9" borderId="0" xfId="0" applyFont="1" applyFill="1" applyAlignment="1">
      <alignment horizontal="left" vertical="center"/>
    </xf>
    <xf numFmtId="167" fontId="10" fillId="9" borderId="0" xfId="0" applyNumberFormat="1" applyFont="1" applyFill="1" applyAlignment="1">
      <alignment vertical="center"/>
    </xf>
    <xf numFmtId="167" fontId="10" fillId="9" borderId="0" xfId="0" applyNumberFormat="1" applyFont="1" applyFill="1"/>
    <xf numFmtId="0" fontId="10" fillId="9" borderId="0" xfId="0" applyFont="1" applyFill="1"/>
    <xf numFmtId="171" fontId="10" fillId="9" borderId="0" xfId="0" applyNumberFormat="1" applyFont="1" applyFill="1"/>
    <xf numFmtId="171" fontId="10" fillId="0" borderId="0" xfId="0" applyNumberFormat="1" applyFont="1"/>
    <xf numFmtId="16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71" fontId="0" fillId="0" borderId="0" xfId="0" applyNumberFormat="1"/>
    <xf numFmtId="0" fontId="0" fillId="0" borderId="0" xfId="0" applyAlignment="1">
      <alignment vertical="center"/>
    </xf>
    <xf numFmtId="164" fontId="10" fillId="9" borderId="0" xfId="1" applyNumberFormat="1" applyFont="1" applyFill="1"/>
    <xf numFmtId="0" fontId="0" fillId="3" borderId="0" xfId="0" applyFill="1"/>
    <xf numFmtId="0" fontId="0" fillId="0" borderId="13" xfId="0" applyBorder="1"/>
    <xf numFmtId="0" fontId="0" fillId="0" borderId="14" xfId="0" applyBorder="1"/>
    <xf numFmtId="164" fontId="0" fillId="0" borderId="10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14" xfId="1" applyNumberFormat="1" applyFont="1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64" fontId="0" fillId="0" borderId="10" xfId="0" applyNumberFormat="1" applyBorder="1"/>
    <xf numFmtId="164" fontId="0" fillId="0" borderId="11" xfId="1" applyNumberFormat="1" applyFont="1" applyBorder="1"/>
    <xf numFmtId="164" fontId="0" fillId="0" borderId="11" xfId="0" applyNumberFormat="1" applyBorder="1"/>
    <xf numFmtId="43" fontId="0" fillId="0" borderId="11" xfId="0" applyNumberFormat="1" applyBorder="1"/>
    <xf numFmtId="43" fontId="0" fillId="0" borderId="11" xfId="1" applyFont="1" applyBorder="1"/>
    <xf numFmtId="164" fontId="0" fillId="0" borderId="12" xfId="0" applyNumberFormat="1" applyBorder="1"/>
    <xf numFmtId="164" fontId="0" fillId="0" borderId="16" xfId="0" applyNumberFormat="1" applyBorder="1"/>
    <xf numFmtId="164" fontId="0" fillId="0" borderId="2" xfId="0" applyNumberFormat="1" applyBorder="1"/>
    <xf numFmtId="43" fontId="0" fillId="0" borderId="2" xfId="0" applyNumberFormat="1" applyBorder="1"/>
    <xf numFmtId="43" fontId="0" fillId="0" borderId="2" xfId="1" applyFont="1" applyBorder="1"/>
    <xf numFmtId="164" fontId="0" fillId="0" borderId="17" xfId="0" applyNumberFormat="1" applyBorder="1"/>
    <xf numFmtId="164" fontId="0" fillId="0" borderId="2" xfId="1" applyNumberFormat="1" applyFont="1" applyBorder="1"/>
    <xf numFmtId="0" fontId="0" fillId="0" borderId="16" xfId="0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0" xfId="0" applyBorder="1"/>
    <xf numFmtId="0" fontId="0" fillId="0" borderId="11" xfId="0" applyBorder="1"/>
    <xf numFmtId="1" fontId="0" fillId="0" borderId="12" xfId="0" applyNumberFormat="1" applyBorder="1"/>
    <xf numFmtId="1" fontId="0" fillId="0" borderId="17" xfId="0" applyNumberFormat="1" applyBorder="1"/>
    <xf numFmtId="1" fontId="0" fillId="0" borderId="15" xfId="0" applyNumberFormat="1" applyBorder="1"/>
    <xf numFmtId="1" fontId="0" fillId="0" borderId="11" xfId="0" applyNumberFormat="1" applyBorder="1"/>
    <xf numFmtId="164" fontId="5" fillId="5" borderId="2" xfId="6" applyNumberFormat="1" applyFont="1" applyFill="1" applyBorder="1"/>
    <xf numFmtId="43" fontId="5" fillId="5" borderId="2" xfId="6" applyFont="1" applyFill="1" applyBorder="1"/>
    <xf numFmtId="168" fontId="5" fillId="5" borderId="2" xfId="6" applyNumberFormat="1" applyFont="1" applyFill="1" applyBorder="1"/>
    <xf numFmtId="0" fontId="0" fillId="8" borderId="0" xfId="0" applyFill="1"/>
    <xf numFmtId="0" fontId="0" fillId="7" borderId="0" xfId="0" applyFill="1"/>
    <xf numFmtId="0" fontId="45" fillId="9" borderId="29" xfId="145" applyFont="1" applyFill="1" applyBorder="1" applyAlignment="1">
      <alignment horizontal="center" vertical="center"/>
    </xf>
    <xf numFmtId="0" fontId="45" fillId="9" borderId="29" xfId="145" applyFont="1" applyFill="1" applyBorder="1" applyAlignment="1">
      <alignment horizontal="center" vertical="center" wrapText="1"/>
    </xf>
    <xf numFmtId="0" fontId="46" fillId="0" borderId="0" xfId="145" applyFont="1" applyAlignment="1">
      <alignment horizontal="center"/>
    </xf>
    <xf numFmtId="0" fontId="46" fillId="0" borderId="0" xfId="145" applyFont="1"/>
    <xf numFmtId="0" fontId="46" fillId="0" borderId="3" xfId="145" applyFont="1" applyBorder="1" applyAlignment="1">
      <alignment horizontal="right"/>
    </xf>
    <xf numFmtId="180" fontId="46" fillId="0" borderId="3" xfId="145" applyNumberFormat="1" applyFont="1" applyBorder="1" applyAlignment="1">
      <alignment horizontal="center"/>
    </xf>
    <xf numFmtId="0" fontId="46" fillId="0" borderId="2" xfId="145" applyFont="1" applyBorder="1" applyAlignment="1">
      <alignment horizontal="center" vertical="center"/>
    </xf>
    <xf numFmtId="1" fontId="46" fillId="0" borderId="3" xfId="160" applyNumberFormat="1" applyFont="1" applyBorder="1" applyAlignment="1">
      <alignment horizontal="center" vertical="center"/>
    </xf>
    <xf numFmtId="14" fontId="46" fillId="0" borderId="3" xfId="160" applyNumberFormat="1" applyFont="1" applyBorder="1" applyAlignment="1">
      <alignment horizontal="center" vertical="center"/>
    </xf>
    <xf numFmtId="22" fontId="46" fillId="0" borderId="3" xfId="160" applyNumberFormat="1" applyFont="1" applyBorder="1" applyAlignment="1">
      <alignment horizontal="center" vertical="center"/>
    </xf>
    <xf numFmtId="0" fontId="46" fillId="0" borderId="3" xfId="145" applyFont="1" applyBorder="1" applyAlignment="1">
      <alignment horizontal="center" vertical="center"/>
    </xf>
    <xf numFmtId="4" fontId="46" fillId="0" borderId="3" xfId="160" applyNumberFormat="1" applyFont="1" applyBorder="1" applyAlignment="1">
      <alignment horizontal="center"/>
    </xf>
    <xf numFmtId="49" fontId="46" fillId="0" borderId="3" xfId="160" applyNumberFormat="1" applyFont="1" applyBorder="1" applyAlignment="1">
      <alignment horizontal="center" vertical="center"/>
    </xf>
    <xf numFmtId="49" fontId="46" fillId="0" borderId="3" xfId="145" applyNumberFormat="1" applyFont="1" applyBorder="1" applyAlignment="1">
      <alignment horizontal="center"/>
    </xf>
    <xf numFmtId="4" fontId="46" fillId="0" borderId="3" xfId="160" applyNumberFormat="1" applyFont="1" applyBorder="1" applyAlignment="1">
      <alignment horizontal="left"/>
    </xf>
    <xf numFmtId="0" fontId="46" fillId="3" borderId="0" xfId="145" applyFont="1" applyFill="1"/>
    <xf numFmtId="165" fontId="46" fillId="0" borderId="3" xfId="160" applyNumberFormat="1" applyFont="1" applyBorder="1" applyAlignment="1">
      <alignment horizontal="center" vertical="center"/>
    </xf>
    <xf numFmtId="181" fontId="46" fillId="0" borderId="3" xfId="160" applyNumberFormat="1" applyFont="1" applyBorder="1" applyAlignment="1">
      <alignment horizontal="center" vertical="center"/>
    </xf>
    <xf numFmtId="180" fontId="46" fillId="3" borderId="3" xfId="145" applyNumberFormat="1" applyFont="1" applyFill="1" applyBorder="1" applyAlignment="1">
      <alignment horizontal="center"/>
    </xf>
    <xf numFmtId="49" fontId="46" fillId="44" borderId="3" xfId="145" applyNumberFormat="1" applyFont="1" applyFill="1" applyBorder="1" applyAlignment="1">
      <alignment horizontal="center"/>
    </xf>
    <xf numFmtId="180" fontId="46" fillId="44" borderId="3" xfId="145" applyNumberFormat="1" applyFont="1" applyFill="1" applyBorder="1" applyAlignment="1">
      <alignment horizontal="center"/>
    </xf>
    <xf numFmtId="49" fontId="46" fillId="0" borderId="3" xfId="160" applyNumberFormat="1" applyFont="1" applyBorder="1" applyAlignment="1">
      <alignment horizontal="center"/>
    </xf>
    <xf numFmtId="180" fontId="46" fillId="45" borderId="3" xfId="145" applyNumberFormat="1" applyFont="1" applyFill="1" applyBorder="1" applyAlignment="1">
      <alignment horizontal="center"/>
    </xf>
    <xf numFmtId="0" fontId="50" fillId="0" borderId="0" xfId="145" applyFont="1" applyAlignment="1">
      <alignment horizontal="center"/>
    </xf>
    <xf numFmtId="14" fontId="46" fillId="44" borderId="3" xfId="160" applyNumberFormat="1" applyFont="1" applyFill="1" applyBorder="1" applyAlignment="1">
      <alignment horizontal="center" vertical="center"/>
    </xf>
    <xf numFmtId="14" fontId="46" fillId="45" borderId="3" xfId="160" applyNumberFormat="1" applyFont="1" applyFill="1" applyBorder="1" applyAlignment="1">
      <alignment horizontal="center" vertical="center"/>
    </xf>
    <xf numFmtId="49" fontId="46" fillId="45" borderId="3" xfId="145" applyNumberFormat="1" applyFont="1" applyFill="1" applyBorder="1" applyAlignment="1">
      <alignment horizontal="center"/>
    </xf>
    <xf numFmtId="0" fontId="46" fillId="45" borderId="2" xfId="145" applyFont="1" applyFill="1" applyBorder="1" applyAlignment="1">
      <alignment horizontal="center" vertical="center"/>
    </xf>
    <xf numFmtId="49" fontId="46" fillId="45" borderId="3" xfId="160" applyNumberFormat="1" applyFont="1" applyFill="1" applyBorder="1" applyAlignment="1">
      <alignment horizontal="center" vertical="center"/>
    </xf>
    <xf numFmtId="22" fontId="46" fillId="45" borderId="3" xfId="160" applyNumberFormat="1" applyFont="1" applyFill="1" applyBorder="1" applyAlignment="1">
      <alignment horizontal="center" vertical="center"/>
    </xf>
    <xf numFmtId="0" fontId="46" fillId="45" borderId="3" xfId="145" applyFont="1" applyFill="1" applyBorder="1" applyAlignment="1">
      <alignment horizontal="center" vertical="center"/>
    </xf>
    <xf numFmtId="4" fontId="46" fillId="45" borderId="3" xfId="160" applyNumberFormat="1" applyFont="1" applyFill="1" applyBorder="1" applyAlignment="1">
      <alignment horizontal="center"/>
    </xf>
    <xf numFmtId="165" fontId="46" fillId="45" borderId="3" xfId="160" applyNumberFormat="1" applyFont="1" applyFill="1" applyBorder="1" applyAlignment="1">
      <alignment horizontal="center" vertical="center"/>
    </xf>
    <xf numFmtId="0" fontId="46" fillId="45" borderId="0" xfId="145" applyFont="1" applyFill="1"/>
    <xf numFmtId="14" fontId="51" fillId="44" borderId="3" xfId="160" applyNumberFormat="1" applyFont="1" applyFill="1" applyBorder="1" applyAlignment="1">
      <alignment horizontal="center" vertical="center"/>
    </xf>
    <xf numFmtId="1" fontId="46" fillId="45" borderId="3" xfId="160" applyNumberFormat="1" applyFont="1" applyFill="1" applyBorder="1" applyAlignment="1">
      <alignment horizontal="center" vertical="center"/>
    </xf>
    <xf numFmtId="0" fontId="46" fillId="46" borderId="3" xfId="145" applyFont="1" applyFill="1" applyBorder="1" applyAlignment="1">
      <alignment horizontal="center" vertical="center"/>
    </xf>
    <xf numFmtId="43" fontId="5" fillId="5" borderId="8" xfId="1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center" vertical="center"/>
    </xf>
    <xf numFmtId="43" fontId="5" fillId="5" borderId="3" xfId="1" applyFont="1" applyFill="1" applyBorder="1" applyAlignment="1">
      <alignment horizontal="center" vertical="center"/>
    </xf>
    <xf numFmtId="43" fontId="5" fillId="5" borderId="18" xfId="1" applyFont="1" applyFill="1" applyBorder="1" applyAlignment="1">
      <alignment horizontal="center" vertical="center"/>
    </xf>
    <xf numFmtId="43" fontId="5" fillId="5" borderId="0" xfId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5" fillId="5" borderId="8" xfId="1" applyNumberFormat="1" applyFont="1" applyFill="1" applyBorder="1" applyAlignment="1">
      <alignment horizontal="center" vertical="center"/>
    </xf>
    <xf numFmtId="164" fontId="5" fillId="5" borderId="9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43" fontId="5" fillId="5" borderId="8" xfId="6" applyFont="1" applyFill="1" applyBorder="1" applyAlignment="1">
      <alignment horizontal="center" vertical="center"/>
    </xf>
    <xf numFmtId="43" fontId="5" fillId="5" borderId="9" xfId="6" applyFont="1" applyFill="1" applyBorder="1" applyAlignment="1">
      <alignment horizontal="center" vertical="center"/>
    </xf>
    <xf numFmtId="169" fontId="5" fillId="5" borderId="8" xfId="6" applyNumberFormat="1" applyFont="1" applyFill="1" applyBorder="1" applyAlignment="1">
      <alignment horizontal="center" vertical="center"/>
    </xf>
    <xf numFmtId="169" fontId="5" fillId="5" borderId="9" xfId="6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46" fillId="0" borderId="0" xfId="145" applyNumberFormat="1" applyFont="1"/>
    <xf numFmtId="180" fontId="46" fillId="0" borderId="3" xfId="145" applyNumberFormat="1" applyFont="1" applyFill="1" applyBorder="1" applyAlignment="1">
      <alignment horizontal="center"/>
    </xf>
    <xf numFmtId="14" fontId="46" fillId="0" borderId="3" xfId="160" applyNumberFormat="1" applyFont="1" applyFill="1" applyBorder="1" applyAlignment="1">
      <alignment horizontal="center" vertical="center"/>
    </xf>
    <xf numFmtId="0" fontId="46" fillId="0" borderId="2" xfId="145" applyFont="1" applyFill="1" applyBorder="1" applyAlignment="1">
      <alignment horizontal="center" vertical="center"/>
    </xf>
    <xf numFmtId="1" fontId="46" fillId="0" borderId="3" xfId="160" applyNumberFormat="1" applyFont="1" applyFill="1" applyBorder="1" applyAlignment="1">
      <alignment horizontal="center" vertical="center"/>
    </xf>
    <xf numFmtId="4" fontId="46" fillId="0" borderId="3" xfId="160" applyNumberFormat="1" applyFont="1" applyFill="1" applyBorder="1" applyAlignment="1">
      <alignment horizontal="center"/>
    </xf>
    <xf numFmtId="22" fontId="46" fillId="0" borderId="3" xfId="160" applyNumberFormat="1" applyFont="1" applyFill="1" applyBorder="1" applyAlignment="1">
      <alignment horizontal="center" vertical="center"/>
    </xf>
    <xf numFmtId="0" fontId="46" fillId="0" borderId="3" xfId="145" applyFont="1" applyFill="1" applyBorder="1" applyAlignment="1">
      <alignment horizontal="center" vertical="center"/>
    </xf>
    <xf numFmtId="181" fontId="46" fillId="0" borderId="3" xfId="160" applyNumberFormat="1" applyFont="1" applyFill="1" applyBorder="1" applyAlignment="1">
      <alignment horizontal="center" vertical="center"/>
    </xf>
    <xf numFmtId="49" fontId="46" fillId="0" borderId="3" xfId="160" applyNumberFormat="1" applyFont="1" applyFill="1" applyBorder="1" applyAlignment="1">
      <alignment horizontal="center"/>
    </xf>
    <xf numFmtId="0" fontId="46" fillId="0" borderId="0" xfId="145" applyFont="1" applyFill="1"/>
  </cellXfs>
  <cellStyles count="374">
    <cellStyle name="20% - Accent1" xfId="163" xr:uid="{AC691E7F-A266-4546-8488-0C94EEC660D0}"/>
    <cellStyle name="20% - Accent1 2" xfId="164" xr:uid="{B4552524-B3CE-4E8D-ACB6-FE994A967F3D}"/>
    <cellStyle name="20% - Accent2" xfId="165" xr:uid="{ADD98A33-201F-43F7-A67E-97C6101630A0}"/>
    <cellStyle name="20% - Accent2 2" xfId="166" xr:uid="{8FD1B7E8-D4A2-45B2-BE27-B74783C28378}"/>
    <cellStyle name="20% - Accent3" xfId="167" xr:uid="{330EF422-EDDD-49ED-8522-3ECA634C1353}"/>
    <cellStyle name="20% - Accent3 2" xfId="168" xr:uid="{D501E9B4-C40E-4384-A7E9-2DE2D2749DAB}"/>
    <cellStyle name="20% - Accent4" xfId="169" xr:uid="{4F138FFB-F615-40FA-A391-006E80EC2200}"/>
    <cellStyle name="20% - Accent4 2" xfId="170" xr:uid="{FD80585C-54C8-4BB7-8CA5-ECCF3B330D52}"/>
    <cellStyle name="20% - Accent5" xfId="171" xr:uid="{59204853-3F65-480E-81DB-8CB30ED27055}"/>
    <cellStyle name="20% - Accent5 2" xfId="172" xr:uid="{3246C375-F88E-43E0-BCCE-2B8A4C3B0E5F}"/>
    <cellStyle name="20% - Accent6" xfId="173" xr:uid="{014FA226-5BDC-4C04-99D1-4B56684D2648}"/>
    <cellStyle name="20% - Accent6 2" xfId="174" xr:uid="{97185E4F-BCA3-4AC8-B051-2AD3568005B2}"/>
    <cellStyle name="40% - Accent1" xfId="175" xr:uid="{C8D4C192-908F-43E6-8505-62CA456AA134}"/>
    <cellStyle name="40% - Accent1 2" xfId="176" xr:uid="{A7A91B5E-6256-4DA9-8172-068E2A040BDF}"/>
    <cellStyle name="40% - Accent2" xfId="177" xr:uid="{CEA4DD60-7B07-4EF0-A21B-4178E779D181}"/>
    <cellStyle name="40% - Accent2 2" xfId="178" xr:uid="{F766E996-DCBD-459D-AA16-CCEBB3E46147}"/>
    <cellStyle name="40% - Accent3" xfId="179" xr:uid="{18B10D35-5C1E-457B-8701-2411F3A672B1}"/>
    <cellStyle name="40% - Accent3 2" xfId="180" xr:uid="{6A3C9ADF-7E2B-43E0-891E-E69E6CCDF6DF}"/>
    <cellStyle name="40% - Accent4" xfId="181" xr:uid="{EDBABA36-6784-48FB-BB03-E588784696B0}"/>
    <cellStyle name="40% - Accent4 2" xfId="182" xr:uid="{6396D8E9-CAE6-4493-A0EC-AE38F19637B9}"/>
    <cellStyle name="40% - Accent5" xfId="183" xr:uid="{EB8243A6-E1C3-48C7-80E6-5C965696A908}"/>
    <cellStyle name="40% - Accent5 2" xfId="184" xr:uid="{F9D25D10-A5BE-4593-9799-DE52D4FDC2A6}"/>
    <cellStyle name="40% - Accent6" xfId="185" xr:uid="{5BBEAE5D-2499-47A8-9685-0BD686479590}"/>
    <cellStyle name="40% - Accent6 2" xfId="186" xr:uid="{173C2B33-46BC-479C-A293-82749172986A}"/>
    <cellStyle name="60% - Accent1" xfId="187" xr:uid="{144B5592-70DB-416F-AC97-782EF307C51D}"/>
    <cellStyle name="60% - Accent2" xfId="188" xr:uid="{67FB29DF-E380-4467-8014-D2A3A597163D}"/>
    <cellStyle name="60% - Accent3" xfId="189" xr:uid="{43CC9460-2AF7-4E44-AB88-3700090D26D2}"/>
    <cellStyle name="60% - Accent4" xfId="190" xr:uid="{8D8EA0FB-FD77-4E80-B85E-8F09B558EDA9}"/>
    <cellStyle name="60% - Accent5" xfId="191" xr:uid="{E6285579-8B90-490B-A618-EA4630AA792C}"/>
    <cellStyle name="60% - Accent6" xfId="192" xr:uid="{3E1ED714-BE1D-47C1-A6E7-FE17ADE1FD53}"/>
    <cellStyle name="Accent1" xfId="193" xr:uid="{2605805A-46C0-49E7-8015-B34EE9BBFEDD}"/>
    <cellStyle name="Accent2" xfId="194" xr:uid="{93A42E97-FFC9-4DBA-A6CE-F4220A2B0BA4}"/>
    <cellStyle name="Accent3" xfId="195" xr:uid="{22C6E54C-286E-4753-9394-1FFE7B1090F2}"/>
    <cellStyle name="Accent4" xfId="196" xr:uid="{784DD19C-489F-40ED-B71E-EAE6BCAFCC66}"/>
    <cellStyle name="Accent5" xfId="197" xr:uid="{E62A156E-AADC-4C77-B704-1F597561EF1D}"/>
    <cellStyle name="Accent6" xfId="198" xr:uid="{B0CD4574-CAF4-4C0C-BFF2-53BB58001493}"/>
    <cellStyle name="Bad" xfId="199" xr:uid="{4C76DE96-6A6B-45AF-BCE4-C73A8FF005D1}"/>
    <cellStyle name="Calculation" xfId="200" xr:uid="{19512519-9F96-42B4-87C1-FFD998C43456}"/>
    <cellStyle name="Check Cell" xfId="201" xr:uid="{D877B24A-DFCC-4518-96DC-9A46733CE30F}"/>
    <cellStyle name="Comma 2" xfId="202" xr:uid="{CAD96A43-2AC2-4216-B657-8664C1834C98}"/>
    <cellStyle name="Énfasis 1" xfId="203" xr:uid="{4BBF82EE-B56B-44A2-8E30-52CE7F2E9A00}"/>
    <cellStyle name="Énfasis 2" xfId="204" xr:uid="{9A8F7AE7-6354-4A78-BB2C-8C48FD4784DE}"/>
    <cellStyle name="Énfasis 3" xfId="205" xr:uid="{603E6524-4487-4CF8-B501-C098ED5F3F43}"/>
    <cellStyle name="Énfasis1 - 20%" xfId="206" xr:uid="{B6D71B56-28D7-4794-B425-D4EBDD8C8817}"/>
    <cellStyle name="Énfasis1 - 20% 2" xfId="207" xr:uid="{BC0476E2-681A-444C-9388-8EA0F4ABE1C9}"/>
    <cellStyle name="Énfasis1 - 40%" xfId="208" xr:uid="{35F97B55-94B8-451C-BEF7-5279775D6E72}"/>
    <cellStyle name="Énfasis1 - 40% 2" xfId="209" xr:uid="{A012FC4B-39BC-46D3-8527-B967B8F903C3}"/>
    <cellStyle name="Énfasis1 - 60%" xfId="210" xr:uid="{43863876-CEA9-4522-9A58-895E70CD1FD3}"/>
    <cellStyle name="Énfasis2 - 20%" xfId="211" xr:uid="{15AF1EDC-AB19-4538-A452-62F045CD83D0}"/>
    <cellStyle name="Énfasis2 - 20% 2" xfId="212" xr:uid="{CED41415-6C59-4C12-ADEC-6653D2B85913}"/>
    <cellStyle name="Énfasis2 - 40%" xfId="213" xr:uid="{70A22B09-C884-45A5-B113-3D1033DDDE9F}"/>
    <cellStyle name="Énfasis2 - 40% 2" xfId="214" xr:uid="{2A777B59-9698-4CB6-99DA-80D580AC9B77}"/>
    <cellStyle name="Énfasis2 - 60%" xfId="215" xr:uid="{5BE8C279-1B3C-4143-93CC-64012655E50B}"/>
    <cellStyle name="Énfasis3 - 20%" xfId="216" xr:uid="{17DFFEEC-F6F7-4C94-86FF-73E7A0BF501B}"/>
    <cellStyle name="Énfasis3 - 20% 2" xfId="217" xr:uid="{6E13475E-71FD-42B0-8621-9D74DA584A9A}"/>
    <cellStyle name="Énfasis3 - 40%" xfId="218" xr:uid="{205CE6D9-57CF-4C2B-A9E9-AE97636AF021}"/>
    <cellStyle name="Énfasis3 - 40% 2" xfId="219" xr:uid="{44026C65-72F8-4F7A-A479-659496AE1E2E}"/>
    <cellStyle name="Énfasis3 - 60%" xfId="220" xr:uid="{8683A3B0-8FA5-4308-896F-14424390E3D4}"/>
    <cellStyle name="Énfasis4 - 20%" xfId="221" xr:uid="{9690BC54-EE20-4362-B02F-FEB6B80830C9}"/>
    <cellStyle name="Énfasis4 - 20% 2" xfId="222" xr:uid="{78A4E1E7-5790-4E6D-8FDD-C55F02042667}"/>
    <cellStyle name="Énfasis4 - 40%" xfId="223" xr:uid="{2F8C6D00-4E9B-4CC9-A7A7-56384D19B57D}"/>
    <cellStyle name="Énfasis4 - 40% 2" xfId="224" xr:uid="{C9BD55CD-89FA-4093-AA2C-6D47C0CA9C13}"/>
    <cellStyle name="Énfasis4 - 60%" xfId="225" xr:uid="{D53CA9F8-166A-4038-901C-D30AB4E8CD45}"/>
    <cellStyle name="Énfasis5 - 20%" xfId="226" xr:uid="{7FDEA05F-EEEC-4606-990E-26BC473485E6}"/>
    <cellStyle name="Énfasis5 - 20% 2" xfId="227" xr:uid="{69993008-5BCD-488D-8DFE-69FF5F4F9C7C}"/>
    <cellStyle name="Énfasis5 - 40%" xfId="228" xr:uid="{B9EEBCF3-B881-45F2-8B43-C7F6C86BF3E1}"/>
    <cellStyle name="Énfasis5 - 40% 2" xfId="229" xr:uid="{B68F5A65-24FD-4366-BA80-F5331FE95A0C}"/>
    <cellStyle name="Énfasis5 - 60%" xfId="230" xr:uid="{7B0ACEFD-869A-471D-979C-C7C74F879043}"/>
    <cellStyle name="Énfasis6 - 20%" xfId="231" xr:uid="{19BC759E-5E5F-4F33-BA80-8B0776451514}"/>
    <cellStyle name="Énfasis6 - 20% 2" xfId="232" xr:uid="{7BD473EA-7A38-442F-ACA2-B9BEEAE00E92}"/>
    <cellStyle name="Énfasis6 - 40%" xfId="233" xr:uid="{94FEE0EF-E801-40BA-9D07-0F895A7C5397}"/>
    <cellStyle name="Énfasis6 - 40% 2" xfId="234" xr:uid="{6B8F7A0E-056B-4E70-B06B-B9809D28B1BA}"/>
    <cellStyle name="Énfasis6 - 60%" xfId="235" xr:uid="{5757ECC0-7BA3-4D7B-8DE9-F79C768DC999}"/>
    <cellStyle name="Euro" xfId="236" xr:uid="{C9E1092C-D83C-4011-91D3-F5CF387EF97A}"/>
    <cellStyle name="Euro 2" xfId="237" xr:uid="{EBAB6E63-805B-4EE0-9DA6-2F484D60F523}"/>
    <cellStyle name="Explanatory Text" xfId="238" xr:uid="{3118C179-4038-40A8-A3FE-C321F7949531}"/>
    <cellStyle name="Good" xfId="239" xr:uid="{8DB55DEF-03F3-4697-ACC7-57EE521A8B4A}"/>
    <cellStyle name="Heading 1" xfId="240" xr:uid="{C2340DA1-84E3-45CF-8673-E540AA141A78}"/>
    <cellStyle name="Heading 2" xfId="241" xr:uid="{2EB59081-FC5D-4F21-BE7F-D684BFDB3C08}"/>
    <cellStyle name="Heading 3" xfId="242" xr:uid="{3021BA50-7AD5-4D7E-AD44-8FE195BD862F}"/>
    <cellStyle name="Heading 4" xfId="243" xr:uid="{669BC91D-A776-4D64-AAAA-864431AF49BD}"/>
    <cellStyle name="Input" xfId="244" xr:uid="{32125F29-3517-45FA-9E64-43D165F1095C}"/>
    <cellStyle name="Linked Cell" xfId="245" xr:uid="{2C8928D2-F41F-4067-B84E-CA952640AAD9}"/>
    <cellStyle name="Millares" xfId="1" builtinId="3"/>
    <cellStyle name="Millares 10" xfId="25" xr:uid="{00000000-0005-0000-0000-000002000000}"/>
    <cellStyle name="Millares 10 2" xfId="73" xr:uid="{00000000-0005-0000-0000-000003000000}"/>
    <cellStyle name="Millares 10 3" xfId="121" xr:uid="{00000000-0005-0000-0000-000004000000}"/>
    <cellStyle name="Millares 10 4" xfId="247" xr:uid="{74C85C66-A59D-4DFB-A34F-860111EE5456}"/>
    <cellStyle name="Millares 11" xfId="49" xr:uid="{00000000-0005-0000-0000-000005000000}"/>
    <cellStyle name="Millares 11 2" xfId="248" xr:uid="{53E55305-3247-4D70-8627-26F57107D150}"/>
    <cellStyle name="Millares 12" xfId="97" xr:uid="{00000000-0005-0000-0000-000006000000}"/>
    <cellStyle name="Millares 12 2" xfId="249" xr:uid="{7B85FD83-D5E0-4285-9D50-D472EC19CA8C}"/>
    <cellStyle name="Millares 13" xfId="246" xr:uid="{168EAD32-3FA6-492F-97E2-3A8AF76498A2}"/>
    <cellStyle name="Millares 18" xfId="250" xr:uid="{A9E08647-8874-48FC-85F4-1939C13741A8}"/>
    <cellStyle name="Millares 2" xfId="3" xr:uid="{00000000-0005-0000-0000-000007000000}"/>
    <cellStyle name="Millares 2 10" xfId="51" xr:uid="{00000000-0005-0000-0000-000008000000}"/>
    <cellStyle name="Millares 2 11" xfId="99" xr:uid="{00000000-0005-0000-0000-000009000000}"/>
    <cellStyle name="Millares 2 12" xfId="251" xr:uid="{9A911CCB-E74B-40FA-828D-7395CD9AAA3D}"/>
    <cellStyle name="Millares 2 2" xfId="6" xr:uid="{00000000-0005-0000-0000-00000A000000}"/>
    <cellStyle name="Millares 2 2 2" xfId="30" xr:uid="{00000000-0005-0000-0000-00000B000000}"/>
    <cellStyle name="Millares 2 2 2 2" xfId="78" xr:uid="{00000000-0005-0000-0000-00000C000000}"/>
    <cellStyle name="Millares 2 2 2 3" xfId="126" xr:uid="{00000000-0005-0000-0000-00000D000000}"/>
    <cellStyle name="Millares 2 2 2 4" xfId="253" xr:uid="{36F621CD-04AF-4BD8-BF10-AF1136C21C35}"/>
    <cellStyle name="Millares 2 2 3" xfId="54" xr:uid="{00000000-0005-0000-0000-00000E000000}"/>
    <cellStyle name="Millares 2 2 4" xfId="102" xr:uid="{00000000-0005-0000-0000-00000F000000}"/>
    <cellStyle name="Millares 2 2 5" xfId="252" xr:uid="{7299F677-0B3C-4B05-ABEF-9099F26DA78D}"/>
    <cellStyle name="Millares 2 3" xfId="9" xr:uid="{00000000-0005-0000-0000-000010000000}"/>
    <cellStyle name="Millares 2 3 2" xfId="33" xr:uid="{00000000-0005-0000-0000-000011000000}"/>
    <cellStyle name="Millares 2 3 2 2" xfId="81" xr:uid="{00000000-0005-0000-0000-000012000000}"/>
    <cellStyle name="Millares 2 3 2 3" xfId="129" xr:uid="{00000000-0005-0000-0000-000013000000}"/>
    <cellStyle name="Millares 2 3 3" xfId="57" xr:uid="{00000000-0005-0000-0000-000014000000}"/>
    <cellStyle name="Millares 2 3 4" xfId="105" xr:uid="{00000000-0005-0000-0000-000015000000}"/>
    <cellStyle name="Millares 2 3 5" xfId="254" xr:uid="{C8DB1EE8-CFBC-4B48-95DC-E9E416A27831}"/>
    <cellStyle name="Millares 2 4" xfId="12" xr:uid="{00000000-0005-0000-0000-000016000000}"/>
    <cellStyle name="Millares 2 4 2" xfId="36" xr:uid="{00000000-0005-0000-0000-000017000000}"/>
    <cellStyle name="Millares 2 4 2 2" xfId="84" xr:uid="{00000000-0005-0000-0000-000018000000}"/>
    <cellStyle name="Millares 2 4 2 3" xfId="132" xr:uid="{00000000-0005-0000-0000-000019000000}"/>
    <cellStyle name="Millares 2 4 3" xfId="60" xr:uid="{00000000-0005-0000-0000-00001A000000}"/>
    <cellStyle name="Millares 2 4 4" xfId="108" xr:uid="{00000000-0005-0000-0000-00001B000000}"/>
    <cellStyle name="Millares 2 4 5" xfId="255" xr:uid="{C76BFE08-7313-44F9-AF1F-D913778E7E56}"/>
    <cellStyle name="Millares 2 5" xfId="15" xr:uid="{00000000-0005-0000-0000-00001C000000}"/>
    <cellStyle name="Millares 2 5 2" xfId="39" xr:uid="{00000000-0005-0000-0000-00001D000000}"/>
    <cellStyle name="Millares 2 5 2 2" xfId="87" xr:uid="{00000000-0005-0000-0000-00001E000000}"/>
    <cellStyle name="Millares 2 5 2 3" xfId="135" xr:uid="{00000000-0005-0000-0000-00001F000000}"/>
    <cellStyle name="Millares 2 5 3" xfId="63" xr:uid="{00000000-0005-0000-0000-000020000000}"/>
    <cellStyle name="Millares 2 5 4" xfId="111" xr:uid="{00000000-0005-0000-0000-000021000000}"/>
    <cellStyle name="Millares 2 5 5" xfId="256" xr:uid="{BCE7DDDF-9AED-4D17-9AD9-13591CD2253A}"/>
    <cellStyle name="Millares 2 6" xfId="18" xr:uid="{00000000-0005-0000-0000-000022000000}"/>
    <cellStyle name="Millares 2 6 2" xfId="42" xr:uid="{00000000-0005-0000-0000-000023000000}"/>
    <cellStyle name="Millares 2 6 2 2" xfId="90" xr:uid="{00000000-0005-0000-0000-000024000000}"/>
    <cellStyle name="Millares 2 6 2 3" xfId="138" xr:uid="{00000000-0005-0000-0000-000025000000}"/>
    <cellStyle name="Millares 2 6 3" xfId="66" xr:uid="{00000000-0005-0000-0000-000026000000}"/>
    <cellStyle name="Millares 2 6 4" xfId="114" xr:uid="{00000000-0005-0000-0000-000027000000}"/>
    <cellStyle name="Millares 2 6 5" xfId="257" xr:uid="{A56846CB-4FCB-4105-8A74-A6BC66183BD0}"/>
    <cellStyle name="Millares 2 7" xfId="21" xr:uid="{00000000-0005-0000-0000-000028000000}"/>
    <cellStyle name="Millares 2 7 2" xfId="45" xr:uid="{00000000-0005-0000-0000-000029000000}"/>
    <cellStyle name="Millares 2 7 2 2" xfId="93" xr:uid="{00000000-0005-0000-0000-00002A000000}"/>
    <cellStyle name="Millares 2 7 2 3" xfId="141" xr:uid="{00000000-0005-0000-0000-00002B000000}"/>
    <cellStyle name="Millares 2 7 3" xfId="69" xr:uid="{00000000-0005-0000-0000-00002C000000}"/>
    <cellStyle name="Millares 2 7 4" xfId="117" xr:uid="{00000000-0005-0000-0000-00002D000000}"/>
    <cellStyle name="Millares 2 7 5" xfId="258" xr:uid="{DE8626BC-0A32-4D46-94F3-89B1F5F25E94}"/>
    <cellStyle name="Millares 2 8" xfId="24" xr:uid="{00000000-0005-0000-0000-00002E000000}"/>
    <cellStyle name="Millares 2 8 2" xfId="48" xr:uid="{00000000-0005-0000-0000-00002F000000}"/>
    <cellStyle name="Millares 2 8 2 2" xfId="96" xr:uid="{00000000-0005-0000-0000-000030000000}"/>
    <cellStyle name="Millares 2 8 2 3" xfId="144" xr:uid="{00000000-0005-0000-0000-000031000000}"/>
    <cellStyle name="Millares 2 8 3" xfId="72" xr:uid="{00000000-0005-0000-0000-000032000000}"/>
    <cellStyle name="Millares 2 8 4" xfId="120" xr:uid="{00000000-0005-0000-0000-000033000000}"/>
    <cellStyle name="Millares 2 8 5" xfId="259" xr:uid="{A85A75A6-F6F8-4D38-A812-59580E4F478E}"/>
    <cellStyle name="Millares 2 9" xfId="27" xr:uid="{00000000-0005-0000-0000-000034000000}"/>
    <cellStyle name="Millares 2 9 2" xfId="75" xr:uid="{00000000-0005-0000-0000-000035000000}"/>
    <cellStyle name="Millares 2 9 3" xfId="123" xr:uid="{00000000-0005-0000-0000-000036000000}"/>
    <cellStyle name="Millares 2_EST._No._25_ACUM.-814(1)" xfId="260" xr:uid="{17A1EF19-7137-4A9D-B7CA-2EC5FE972632}"/>
    <cellStyle name="Millares 3" xfId="4" xr:uid="{00000000-0005-0000-0000-000037000000}"/>
    <cellStyle name="Millares 3 2" xfId="28" xr:uid="{00000000-0005-0000-0000-000038000000}"/>
    <cellStyle name="Millares 3 2 2" xfId="76" xr:uid="{00000000-0005-0000-0000-000039000000}"/>
    <cellStyle name="Millares 3 2 3" xfId="124" xr:uid="{00000000-0005-0000-0000-00003A000000}"/>
    <cellStyle name="Millares 3 2 4" xfId="262" xr:uid="{82ED9CD6-856A-45B9-81EF-2BC1A1DD2803}"/>
    <cellStyle name="Millares 3 3" xfId="52" xr:uid="{00000000-0005-0000-0000-00003B000000}"/>
    <cellStyle name="Millares 3 3 2" xfId="263" xr:uid="{98832537-A1E5-4E0D-AEAF-62C7A573B6BE}"/>
    <cellStyle name="Millares 3 4" xfId="100" xr:uid="{00000000-0005-0000-0000-00003C000000}"/>
    <cellStyle name="Millares 3 5" xfId="261" xr:uid="{0D99D3A1-7C78-4F3A-8C3B-425FCC7BA664}"/>
    <cellStyle name="Millares 4" xfId="7" xr:uid="{00000000-0005-0000-0000-00003D000000}"/>
    <cellStyle name="Millares 4 2" xfId="31" xr:uid="{00000000-0005-0000-0000-00003E000000}"/>
    <cellStyle name="Millares 4 2 2" xfId="79" xr:uid="{00000000-0005-0000-0000-00003F000000}"/>
    <cellStyle name="Millares 4 2 3" xfId="127" xr:uid="{00000000-0005-0000-0000-000040000000}"/>
    <cellStyle name="Millares 4 2 4" xfId="265" xr:uid="{F4270051-7115-4208-8BB0-6892D09C62A7}"/>
    <cellStyle name="Millares 4 3" xfId="55" xr:uid="{00000000-0005-0000-0000-000041000000}"/>
    <cellStyle name="Millares 4 4" xfId="103" xr:uid="{00000000-0005-0000-0000-000042000000}"/>
    <cellStyle name="Millares 4 5" xfId="264" xr:uid="{CBBE6C1D-5A46-415E-A38C-3B9621578563}"/>
    <cellStyle name="Millares 5" xfId="10" xr:uid="{00000000-0005-0000-0000-000043000000}"/>
    <cellStyle name="Millares 5 2" xfId="34" xr:uid="{00000000-0005-0000-0000-000044000000}"/>
    <cellStyle name="Millares 5 2 2" xfId="82" xr:uid="{00000000-0005-0000-0000-000045000000}"/>
    <cellStyle name="Millares 5 2 3" xfId="130" xr:uid="{00000000-0005-0000-0000-000046000000}"/>
    <cellStyle name="Millares 5 2 4" xfId="267" xr:uid="{E9D9E68C-70FC-44D6-8E6D-17E4C61EE481}"/>
    <cellStyle name="Millares 5 3" xfId="58" xr:uid="{00000000-0005-0000-0000-000047000000}"/>
    <cellStyle name="Millares 5 4" xfId="106" xr:uid="{00000000-0005-0000-0000-000048000000}"/>
    <cellStyle name="Millares 5 5" xfId="266" xr:uid="{2FEE70AB-56DD-4841-B598-9F2B59B91665}"/>
    <cellStyle name="Millares 6" xfId="13" xr:uid="{00000000-0005-0000-0000-000049000000}"/>
    <cellStyle name="Millares 6 2" xfId="37" xr:uid="{00000000-0005-0000-0000-00004A000000}"/>
    <cellStyle name="Millares 6 2 2" xfId="85" xr:uid="{00000000-0005-0000-0000-00004B000000}"/>
    <cellStyle name="Millares 6 2 3" xfId="133" xr:uid="{00000000-0005-0000-0000-00004C000000}"/>
    <cellStyle name="Millares 6 2 4" xfId="269" xr:uid="{441B4A66-3B5B-4308-8D70-78BC64760555}"/>
    <cellStyle name="Millares 6 3" xfId="61" xr:uid="{00000000-0005-0000-0000-00004D000000}"/>
    <cellStyle name="Millares 6 4" xfId="109" xr:uid="{00000000-0005-0000-0000-00004E000000}"/>
    <cellStyle name="Millares 6 5" xfId="268" xr:uid="{611C035F-2C0F-4123-A349-0BAC0839559C}"/>
    <cellStyle name="Millares 7" xfId="16" xr:uid="{00000000-0005-0000-0000-00004F000000}"/>
    <cellStyle name="Millares 7 2" xfId="40" xr:uid="{00000000-0005-0000-0000-000050000000}"/>
    <cellStyle name="Millares 7 2 2" xfId="88" xr:uid="{00000000-0005-0000-0000-000051000000}"/>
    <cellStyle name="Millares 7 2 3" xfId="136" xr:uid="{00000000-0005-0000-0000-000052000000}"/>
    <cellStyle name="Millares 7 2 4" xfId="271" xr:uid="{A4C736B8-2A68-4C9E-94F4-90BC9237D187}"/>
    <cellStyle name="Millares 7 3" xfId="64" xr:uid="{00000000-0005-0000-0000-000053000000}"/>
    <cellStyle name="Millares 7 3 2" xfId="272" xr:uid="{4454758D-4842-4786-B8CF-99D047199901}"/>
    <cellStyle name="Millares 7 4" xfId="112" xr:uid="{00000000-0005-0000-0000-000054000000}"/>
    <cellStyle name="Millares 7 5" xfId="270" xr:uid="{CA8F0F8F-6D81-4AAE-AB95-687960EF1AA0}"/>
    <cellStyle name="Millares 8" xfId="19" xr:uid="{00000000-0005-0000-0000-000055000000}"/>
    <cellStyle name="Millares 8 2" xfId="43" xr:uid="{00000000-0005-0000-0000-000056000000}"/>
    <cellStyle name="Millares 8 2 2" xfId="91" xr:uid="{00000000-0005-0000-0000-000057000000}"/>
    <cellStyle name="Millares 8 2 3" xfId="139" xr:uid="{00000000-0005-0000-0000-000058000000}"/>
    <cellStyle name="Millares 8 2 4" xfId="274" xr:uid="{0D962D91-C553-429E-9D39-7E805112849E}"/>
    <cellStyle name="Millares 8 3" xfId="67" xr:uid="{00000000-0005-0000-0000-000059000000}"/>
    <cellStyle name="Millares 8 4" xfId="115" xr:uid="{00000000-0005-0000-0000-00005A000000}"/>
    <cellStyle name="Millares 8 5" xfId="273" xr:uid="{79AF7E01-1CF0-4E94-AE92-97DAB031289C}"/>
    <cellStyle name="Millares 9" xfId="22" xr:uid="{00000000-0005-0000-0000-00005B000000}"/>
    <cellStyle name="Millares 9 2" xfId="46" xr:uid="{00000000-0005-0000-0000-00005C000000}"/>
    <cellStyle name="Millares 9 2 2" xfId="94" xr:uid="{00000000-0005-0000-0000-00005D000000}"/>
    <cellStyle name="Millares 9 2 3" xfId="142" xr:uid="{00000000-0005-0000-0000-00005E000000}"/>
    <cellStyle name="Millares 9 2 4" xfId="276" xr:uid="{8106CCB9-7C0B-4E5C-A30C-0C8D83B35AAE}"/>
    <cellStyle name="Millares 9 3" xfId="70" xr:uid="{00000000-0005-0000-0000-00005F000000}"/>
    <cellStyle name="Millares 9 4" xfId="118" xr:uid="{00000000-0005-0000-0000-000060000000}"/>
    <cellStyle name="Millares 9 5" xfId="275" xr:uid="{43C11654-581B-4CCB-A32E-E220DCAFA9D5}"/>
    <cellStyle name="Moneda [ꬰ]" xfId="278" xr:uid="{CC86D2F6-4B7F-47BE-A4B4-E46D12700C41}"/>
    <cellStyle name="Moneda 10" xfId="50" xr:uid="{00000000-0005-0000-0000-000061000000}"/>
    <cellStyle name="Moneda 10 2" xfId="280" xr:uid="{965DE44B-8149-4AD0-B43D-76E2A70032D5}"/>
    <cellStyle name="Moneda 10 3" xfId="279" xr:uid="{FF6948BB-1752-425A-88B1-7E6D498E859C}"/>
    <cellStyle name="Moneda 11" xfId="98" xr:uid="{00000000-0005-0000-0000-000062000000}"/>
    <cellStyle name="Moneda 11 2" xfId="281" xr:uid="{5196A8BF-3E07-4FDA-ACAF-3850BADFB446}"/>
    <cellStyle name="Moneda 12" xfId="151" xr:uid="{A93D61EC-2A54-4CBC-913C-7FDC560737AB}"/>
    <cellStyle name="Moneda 12 2" xfId="282" xr:uid="{15165E3E-AAFA-4299-8065-415C3EE32AEE}"/>
    <cellStyle name="Moneda 13" xfId="155" xr:uid="{98C70137-DEAC-43A3-BF99-BA07D8D3DA17}"/>
    <cellStyle name="Moneda 13 2" xfId="283" xr:uid="{C1CD4A3B-49E3-4FA9-9B7C-0DAB76FAAC6E}"/>
    <cellStyle name="Moneda 14" xfId="158" xr:uid="{B1310308-9B12-46DC-952D-332C4E2B67F6}"/>
    <cellStyle name="Moneda 14 2" xfId="284" xr:uid="{2DE9F1B8-C7EA-405D-8A64-9C966CB1D16E}"/>
    <cellStyle name="Moneda 15" xfId="285" xr:uid="{E7DBACD5-751D-4B3B-AF8F-11394D9A5DEE}"/>
    <cellStyle name="Moneda 16" xfId="286" xr:uid="{72B269F0-ABF4-430A-9F05-8C98A53AE652}"/>
    <cellStyle name="Moneda 17" xfId="277" xr:uid="{368A1443-D196-4BB7-B9B4-3AF45BC32B66}"/>
    <cellStyle name="Moneda 2" xfId="5" xr:uid="{00000000-0005-0000-0000-000063000000}"/>
    <cellStyle name="Moneda 2 2" xfId="29" xr:uid="{00000000-0005-0000-0000-000064000000}"/>
    <cellStyle name="Moneda 2 2 2" xfId="77" xr:uid="{00000000-0005-0000-0000-000065000000}"/>
    <cellStyle name="Moneda 2 2 2 2" xfId="289" xr:uid="{48989DFC-DD38-4D42-85C9-348C5189F1D7}"/>
    <cellStyle name="Moneda 2 2 3" xfId="125" xr:uid="{00000000-0005-0000-0000-000066000000}"/>
    <cellStyle name="Moneda 2 2 3 2" xfId="290" xr:uid="{13CC1ACC-E743-4786-8CD9-11E904D01752}"/>
    <cellStyle name="Moneda 2 2 4" xfId="291" xr:uid="{EBD8D333-CEF1-4CB5-BD5E-B18FF355B7BD}"/>
    <cellStyle name="Moneda 2 2 5" xfId="288" xr:uid="{03311520-B6ED-45CE-A7C7-10052C11DC8B}"/>
    <cellStyle name="Moneda 2 3" xfId="53" xr:uid="{00000000-0005-0000-0000-000067000000}"/>
    <cellStyle name="Moneda 2 3 2" xfId="292" xr:uid="{80E3906F-2DE9-4585-8CAD-060C98892A6C}"/>
    <cellStyle name="Moneda 2 4" xfId="101" xr:uid="{00000000-0005-0000-0000-000068000000}"/>
    <cellStyle name="Moneda 2 4 2" xfId="293" xr:uid="{DD47AD5D-E7D5-40E5-8EAF-D549190C157A}"/>
    <cellStyle name="Moneda 2 5" xfId="294" xr:uid="{679CDAEB-D5CB-40C1-8814-68BAED6025B6}"/>
    <cellStyle name="Moneda 2 6" xfId="295" xr:uid="{6E222106-1D2C-4B3A-BC85-1047047A2710}"/>
    <cellStyle name="Moneda 2 7" xfId="296" xr:uid="{D8E03593-0B5C-4D4D-9FE3-90E2F651E0CB}"/>
    <cellStyle name="Moneda 2 8" xfId="297" xr:uid="{CDC25A11-4C4F-4FD6-BA18-37466BC67419}"/>
    <cellStyle name="Moneda 2 9" xfId="287" xr:uid="{2EF1D2C8-E8DA-4203-8E39-23A71C95CD2B}"/>
    <cellStyle name="Moneda 3" xfId="8" xr:uid="{00000000-0005-0000-0000-000069000000}"/>
    <cellStyle name="Moneda 3 2" xfId="32" xr:uid="{00000000-0005-0000-0000-00006A000000}"/>
    <cellStyle name="Moneda 3 2 2" xfId="80" xr:uid="{00000000-0005-0000-0000-00006B000000}"/>
    <cellStyle name="Moneda 3 2 3" xfId="128" xr:uid="{00000000-0005-0000-0000-00006C000000}"/>
    <cellStyle name="Moneda 3 2 4" xfId="299" xr:uid="{A8B4B72F-7CDA-43B8-BB69-3B6C32261571}"/>
    <cellStyle name="Moneda 3 3" xfId="56" xr:uid="{00000000-0005-0000-0000-00006D000000}"/>
    <cellStyle name="Moneda 3 4" xfId="104" xr:uid="{00000000-0005-0000-0000-00006E000000}"/>
    <cellStyle name="Moneda 3 5" xfId="298" xr:uid="{AC82B10E-89F4-4F6F-B843-28A43D1CD655}"/>
    <cellStyle name="Moneda 4" xfId="11" xr:uid="{00000000-0005-0000-0000-00006F000000}"/>
    <cellStyle name="Moneda 4 2" xfId="35" xr:uid="{00000000-0005-0000-0000-000070000000}"/>
    <cellStyle name="Moneda 4 2 2" xfId="83" xr:uid="{00000000-0005-0000-0000-000071000000}"/>
    <cellStyle name="Moneda 4 2 3" xfId="131" xr:uid="{00000000-0005-0000-0000-000072000000}"/>
    <cellStyle name="Moneda 4 2 4" xfId="301" xr:uid="{E4E38244-0884-423B-B47B-3668D29AE930}"/>
    <cellStyle name="Moneda 4 3" xfId="59" xr:uid="{00000000-0005-0000-0000-000073000000}"/>
    <cellStyle name="Moneda 4 3 2" xfId="302" xr:uid="{0931F314-4A93-4639-A3F9-DD81F21311FD}"/>
    <cellStyle name="Moneda 4 4" xfId="107" xr:uid="{00000000-0005-0000-0000-000074000000}"/>
    <cellStyle name="Moneda 4 5" xfId="152" xr:uid="{3261CBE6-820C-401F-BB98-5153A49CF936}"/>
    <cellStyle name="Moneda 4 6" xfId="300" xr:uid="{223E74CD-1008-44AF-914A-5E2D019AF478}"/>
    <cellStyle name="Moneda 5" xfId="14" xr:uid="{00000000-0005-0000-0000-000075000000}"/>
    <cellStyle name="Moneda 5 2" xfId="38" xr:uid="{00000000-0005-0000-0000-000076000000}"/>
    <cellStyle name="Moneda 5 2 2" xfId="86" xr:uid="{00000000-0005-0000-0000-000077000000}"/>
    <cellStyle name="Moneda 5 2 3" xfId="134" xr:uid="{00000000-0005-0000-0000-000078000000}"/>
    <cellStyle name="Moneda 5 2 4" xfId="304" xr:uid="{6B72ACFA-2E3C-46F5-9BF6-022BF9EDC8CA}"/>
    <cellStyle name="Moneda 5 3" xfId="62" xr:uid="{00000000-0005-0000-0000-000079000000}"/>
    <cellStyle name="Moneda 5 4" xfId="110" xr:uid="{00000000-0005-0000-0000-00007A000000}"/>
    <cellStyle name="Moneda 5 5" xfId="303" xr:uid="{B02044DA-4772-4C46-9013-64012A84600A}"/>
    <cellStyle name="Moneda 6" xfId="17" xr:uid="{00000000-0005-0000-0000-00007B000000}"/>
    <cellStyle name="Moneda 6 2" xfId="41" xr:uid="{00000000-0005-0000-0000-00007C000000}"/>
    <cellStyle name="Moneda 6 2 2" xfId="89" xr:uid="{00000000-0005-0000-0000-00007D000000}"/>
    <cellStyle name="Moneda 6 2 3" xfId="137" xr:uid="{00000000-0005-0000-0000-00007E000000}"/>
    <cellStyle name="Moneda 6 2 4" xfId="306" xr:uid="{7A4C5ABB-849B-48B0-9084-D0C3EBE15DC8}"/>
    <cellStyle name="Moneda 6 3" xfId="65" xr:uid="{00000000-0005-0000-0000-00007F000000}"/>
    <cellStyle name="Moneda 6 4" xfId="113" xr:uid="{00000000-0005-0000-0000-000080000000}"/>
    <cellStyle name="Moneda 6 5" xfId="305" xr:uid="{74E66643-AF52-4E8D-AFCA-63E72556480F}"/>
    <cellStyle name="Moneda 7" xfId="20" xr:uid="{00000000-0005-0000-0000-000081000000}"/>
    <cellStyle name="Moneda 7 2" xfId="44" xr:uid="{00000000-0005-0000-0000-000082000000}"/>
    <cellStyle name="Moneda 7 2 2" xfId="92" xr:uid="{00000000-0005-0000-0000-000083000000}"/>
    <cellStyle name="Moneda 7 2 3" xfId="140" xr:uid="{00000000-0005-0000-0000-000084000000}"/>
    <cellStyle name="Moneda 7 2 4" xfId="308" xr:uid="{40AB8031-61D8-4A5D-94AE-DF8F23424582}"/>
    <cellStyle name="Moneda 7 3" xfId="68" xr:uid="{00000000-0005-0000-0000-000085000000}"/>
    <cellStyle name="Moneda 7 3 2" xfId="309" xr:uid="{BA9228C0-B90C-4AA0-B307-A9315C0BC2D4}"/>
    <cellStyle name="Moneda 7 4" xfId="116" xr:uid="{00000000-0005-0000-0000-000086000000}"/>
    <cellStyle name="Moneda 7 5" xfId="307" xr:uid="{07089267-0342-428D-87D7-12F39E72D08B}"/>
    <cellStyle name="Moneda 8" xfId="23" xr:uid="{00000000-0005-0000-0000-000087000000}"/>
    <cellStyle name="Moneda 8 2" xfId="47" xr:uid="{00000000-0005-0000-0000-000088000000}"/>
    <cellStyle name="Moneda 8 2 2" xfId="95" xr:uid="{00000000-0005-0000-0000-000089000000}"/>
    <cellStyle name="Moneda 8 2 3" xfId="143" xr:uid="{00000000-0005-0000-0000-00008A000000}"/>
    <cellStyle name="Moneda 8 2 4" xfId="311" xr:uid="{D1E0601C-140B-4E80-8BBE-EE2D7F591C72}"/>
    <cellStyle name="Moneda 8 3" xfId="71" xr:uid="{00000000-0005-0000-0000-00008B000000}"/>
    <cellStyle name="Moneda 8 4" xfId="119" xr:uid="{00000000-0005-0000-0000-00008C000000}"/>
    <cellStyle name="Moneda 8 5" xfId="310" xr:uid="{DB2407F7-DC27-45AB-895E-53626415DF63}"/>
    <cellStyle name="Moneda 9" xfId="26" xr:uid="{00000000-0005-0000-0000-00008D000000}"/>
    <cellStyle name="Moneda 9 2" xfId="74" xr:uid="{00000000-0005-0000-0000-00008E000000}"/>
    <cellStyle name="Moneda 9 2 2" xfId="313" xr:uid="{B00E0A75-3806-45FA-B78C-4FFEF711A348}"/>
    <cellStyle name="Moneda 9 3" xfId="122" xr:uid="{00000000-0005-0000-0000-00008F000000}"/>
    <cellStyle name="Moneda 9 4" xfId="312" xr:uid="{D022FC56-021A-45AE-ABFB-F10641867D91}"/>
    <cellStyle name="Neutral 2" xfId="314" xr:uid="{B78F0191-F54D-4782-A883-6AD684A487F7}"/>
    <cellStyle name="Normal" xfId="0" builtinId="0"/>
    <cellStyle name="Normal 10" xfId="315" xr:uid="{316CB611-0E55-4CD5-98B4-A5BE1E043AC1}"/>
    <cellStyle name="Normal 10 2" xfId="316" xr:uid="{EF9FC13D-C424-406A-8549-6C8AEAACA3FB}"/>
    <cellStyle name="Normal 11" xfId="157" xr:uid="{0077EA0D-2225-4501-A77A-D10E146410B6}"/>
    <cellStyle name="Normal 11 2" xfId="317" xr:uid="{F3FA5437-78A8-475E-863C-81EF73F27DEE}"/>
    <cellStyle name="Normal 12" xfId="318" xr:uid="{CA243718-8390-47D1-A8BE-2D5ECCB135AA}"/>
    <cellStyle name="Normal 13" xfId="319" xr:uid="{42BC9214-3A68-4638-93B6-9E9F86213730}"/>
    <cellStyle name="Normal 14" xfId="320" xr:uid="{3F750181-AE3C-428F-8E60-F2C71CA51B15}"/>
    <cellStyle name="Normal 18" xfId="321" xr:uid="{190F9BF5-0CC8-4A62-99FC-1052AFDC76A0}"/>
    <cellStyle name="Normal 2" xfId="145" xr:uid="{00000000-0005-0000-0000-000091000000}"/>
    <cellStyle name="Normal 2 10" xfId="322" xr:uid="{22785334-6F55-48B8-AB1E-C8DBCAADAD62}"/>
    <cellStyle name="Normal 2 2" xfId="148" xr:uid="{00000000-0005-0000-0000-000092000000}"/>
    <cellStyle name="Normal 2 2 2" xfId="324" xr:uid="{29F1152E-22F0-4BDF-970C-F27B262CB722}"/>
    <cellStyle name="Normal 2 2 2 2" xfId="325" xr:uid="{19DF260D-72EA-4911-824A-549E9C7A2731}"/>
    <cellStyle name="Normal 2 2 2 2 2" xfId="326" xr:uid="{41EFFF63-855F-4591-A5E5-C329DA4128E4}"/>
    <cellStyle name="Normal 2 2 2 3" xfId="327" xr:uid="{46D054D4-F7C1-4CDF-BD93-6F84028761F0}"/>
    <cellStyle name="Normal 2 2 3" xfId="328" xr:uid="{711271AF-A2F1-4AD4-A723-BFE2005C27E4}"/>
    <cellStyle name="Normal 2 2 4" xfId="329" xr:uid="{810DB12E-2520-4BC4-B1BA-54971DB35399}"/>
    <cellStyle name="Normal 2 2 5" xfId="330" xr:uid="{5348FF14-AAFA-4607-992C-3ED9D044DE61}"/>
    <cellStyle name="Normal 2 2 6" xfId="331" xr:uid="{02D6DF64-FE5C-4EE9-BC64-926629BA7979}"/>
    <cellStyle name="Normal 2 2 7" xfId="332" xr:uid="{58DA0EED-24F9-4704-BC58-E75CABCE52D1}"/>
    <cellStyle name="Normal 2 2 8" xfId="333" xr:uid="{CD24BCD5-5CC3-4D23-9F03-FE0462432E6B}"/>
    <cellStyle name="Normal 2 2 9" xfId="323" xr:uid="{C4265782-7970-4217-8977-48508A2841D0}"/>
    <cellStyle name="Normal 2 3" xfId="159" xr:uid="{2B7DB7F6-2DCE-4D96-A91B-086F1DD13867}"/>
    <cellStyle name="Normal 2 3 2" xfId="334" xr:uid="{D7C430CB-8A9C-448A-96B5-AAD25D9D9CEB}"/>
    <cellStyle name="Normal 2 4" xfId="161" xr:uid="{E16F2886-2AE8-484C-8FB9-910587711090}"/>
    <cellStyle name="Normal 2 4 2" xfId="335" xr:uid="{E29E7E9D-EAD5-4F74-B74B-B8B5618CC4AE}"/>
    <cellStyle name="Normal 2 5" xfId="336" xr:uid="{229ABC36-CD50-49B0-86D3-7072BB124784}"/>
    <cellStyle name="Normal 2 6" xfId="337" xr:uid="{4C778CB7-E22F-4413-A8EE-6555467525E5}"/>
    <cellStyle name="Normal 2 7" xfId="338" xr:uid="{E5B02C54-09A4-443E-8833-9564CEA4BF94}"/>
    <cellStyle name="Normal 2 8" xfId="339" xr:uid="{3F3EB111-B3A2-4A89-BBFE-8F21EF1BD914}"/>
    <cellStyle name="Normal 2_estimacion 1 segunda etapa, sabanilla" xfId="340" xr:uid="{E9BF67B4-9855-4A08-90D0-16F52CFB98F3}"/>
    <cellStyle name="Normal 3" xfId="147" xr:uid="{00000000-0005-0000-0000-000093000000}"/>
    <cellStyle name="Normal 3 2" xfId="149" xr:uid="{00000000-0005-0000-0000-000094000000}"/>
    <cellStyle name="Normal 3 2 2" xfId="342" xr:uid="{5C383FFA-9993-49E3-A482-D6F5BE1FCF28}"/>
    <cellStyle name="Normal 3 3" xfId="343" xr:uid="{E244A11F-0161-469C-B40B-C8EB6AFAA6E8}"/>
    <cellStyle name="NORMAL 3 4" xfId="344" xr:uid="{78C24C9E-7FFB-4B9D-B620-C842744D9569}"/>
    <cellStyle name="Normal 3 5" xfId="345" xr:uid="{B9E87CD0-7FF8-429A-84C3-98915C3DEED6}"/>
    <cellStyle name="Normal 3 6" xfId="341" xr:uid="{B0FF9D59-7B7D-446A-A232-FE8C85CAB3EE}"/>
    <cellStyle name="Normal 4" xfId="150" xr:uid="{B695160E-AC4B-4D75-8423-34A2AC4365CA}"/>
    <cellStyle name="Normal 4 2" xfId="347" xr:uid="{2CDBE63D-9CDC-4A68-AF6C-4AC694EB775C}"/>
    <cellStyle name="Normal 4 3" xfId="348" xr:uid="{BBB25CB1-0EDB-4BD3-85D4-8270A67FA081}"/>
    <cellStyle name="Normal 4 4" xfId="349" xr:uid="{3639E301-9499-4A2F-9BF4-A5C7F030F741}"/>
    <cellStyle name="Normal 4 5" xfId="350" xr:uid="{604AC28E-9D91-4990-B1AE-012B9A180709}"/>
    <cellStyle name="Normal 4 6" xfId="351" xr:uid="{ACADFA64-DBD3-42EF-BEB6-BDF887582E4C}"/>
    <cellStyle name="Normal 4 7" xfId="346" xr:uid="{79D3F669-5D53-493D-BFDE-AB0B1308E6BB}"/>
    <cellStyle name="Normal 5" xfId="153" xr:uid="{8EEA5202-BA56-444C-BF43-4AA214D721E5}"/>
    <cellStyle name="Normal 5 2" xfId="353" xr:uid="{146468BC-273E-4417-8044-453DC3788A5C}"/>
    <cellStyle name="Normal 5 3" xfId="354" xr:uid="{AA52EB53-B91D-4CB2-B72D-7E2E812A14CD}"/>
    <cellStyle name="Normal 5 4" xfId="355" xr:uid="{49326739-8D6F-4166-9E68-0BD90D3AAEE5}"/>
    <cellStyle name="Normal 5 5" xfId="356" xr:uid="{A2A5AB15-02DA-4380-BC50-E0DFD821FED4}"/>
    <cellStyle name="Normal 5 6" xfId="357" xr:uid="{FCDF1084-26E3-49CA-9629-5AE7E1194D42}"/>
    <cellStyle name="Normal 5 7" xfId="352" xr:uid="{8E857C43-DBA3-4ECF-89B1-395FEE4DDE88}"/>
    <cellStyle name="Normal 6" xfId="154" xr:uid="{D397D22B-A800-47DF-A3BB-39F804FA5053}"/>
    <cellStyle name="Normal 6 2" xfId="358" xr:uid="{CB7B8DA1-8CC9-4993-B6BB-8DAB9A988141}"/>
    <cellStyle name="Normal 6 2 2" xfId="359" xr:uid="{CCE957D3-25C1-4BFD-A781-956F69C339BC}"/>
    <cellStyle name="Normal 7" xfId="156" xr:uid="{40B40493-0276-4B50-A2D6-C459E5CD9DD3}"/>
    <cellStyle name="Normal 7 2" xfId="361" xr:uid="{D6F3B441-70F8-47DE-A274-B5762847798B}"/>
    <cellStyle name="Normal 7 3" xfId="360" xr:uid="{C4FD7F56-8D25-435B-8D88-78D959451DCA}"/>
    <cellStyle name="Normal 8" xfId="162" xr:uid="{2138D310-AC5F-4672-B185-3C6D4DDF28F4}"/>
    <cellStyle name="Normal 8 2" xfId="362" xr:uid="{5AB94856-F22F-4D45-8139-F3BB62DE2E19}"/>
    <cellStyle name="Normal 9" xfId="363" xr:uid="{B0819A65-A257-4CFA-B538-7D5CBB69C885}"/>
    <cellStyle name="Normal_programa planta san Antonio" xfId="160" xr:uid="{510B4450-243B-4044-9800-4EF7E1959329}"/>
    <cellStyle name="Notas 2" xfId="146" xr:uid="{00000000-0005-0000-0000-000096000000}"/>
    <cellStyle name="Note" xfId="364" xr:uid="{970CDFE8-8292-4E80-BD75-285DADE2B457}"/>
    <cellStyle name="Output" xfId="365" xr:uid="{C3764BBE-0C8C-49F7-8B37-7403CA3E7D8D}"/>
    <cellStyle name="Porcentaje" xfId="2" builtinId="5"/>
    <cellStyle name="Porcentaje 2" xfId="366" xr:uid="{B9D59FA3-2AFF-4A45-852C-40EE9246D818}"/>
    <cellStyle name="Porcentual 2" xfId="367" xr:uid="{26019473-09C9-464C-8E11-A9BF66917899}"/>
    <cellStyle name="Porcentual 3" xfId="368" xr:uid="{8EC51FBD-98BB-4A72-AE1E-F132D67FD3C6}"/>
    <cellStyle name="Porcentual 3 2" xfId="369" xr:uid="{66003576-F39C-4214-913C-61F95027E50D}"/>
    <cellStyle name="Title" xfId="370" xr:uid="{A578B22A-7B37-4EDA-82D5-20BB1991343C}"/>
    <cellStyle name="Título de hoja" xfId="371" xr:uid="{B3E9A06D-F158-45A3-A293-A2723AE7C13B}"/>
    <cellStyle name="Total 2" xfId="372" xr:uid="{DF09F7AE-066C-499B-898F-822244B0B301}"/>
    <cellStyle name="Warning Text" xfId="373" xr:uid="{FE526709-739C-47B9-BCA6-2D4A915E2D4A}"/>
  </cellStyles>
  <dxfs count="0"/>
  <tableStyles count="0" defaultTableStyle="TableStyleMedium2" defaultPivotStyle="PivotStyleLight16"/>
  <colors>
    <mruColors>
      <color rgb="FFFF6600"/>
      <color rgb="FF53F02E"/>
      <color rgb="FFFF0066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A2E8D65\Copia%20de%20CART%20RENACIMIEN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%20de%20c&#225;lculo%20en%20Hoja%20de%20c&#225;lculo%20Recorte%20'5129298_75%20%20%201_0...'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CURSO\FINAPA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mex\ENCARGOS\private\var\folders\8k\22cmfcjx3yx42s91nh3zmwdw0000gn\T\TemporaryItems\Outlook%20Temp\Oferta%20APP%20Coatza%20(AA%206Apr17)\DOCUMENTACI&#211;N%20ECON&#211;MICA\IE-11%20ModeloFinanciero\Modelo%20Financier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ARQ.%20LUIS%20ORBEY/OneDrive/OFICINA%20DE%20PROYECTOS/1-OBRAS/40%20BA&#209;OS%20XPUJIL/Users/ING.%20CHABLE/Desktop/ESTIMACION%204%20FINIQUITO%2023-11-12/Users/Alejandra/Desktop/DIR65.XLS/ESTIMACIONES/CESMOPAC/CESMOPAC.xls" TargetMode="External"/><Relationship Id="rId1" Type="http://schemas.openxmlformats.org/officeDocument/2006/relationships/externalLinkPath" Target="/Users/ARQ.%20LUIS%20ORBEY/OneDrive/OFICINA%20DE%20PROYECTOS/1-OBRAS/40%20BA&#209;OS%20XPUJIL/Users/ING.%20CHABLE/Desktop/ESTIMACION%204%20FINIQUITO%2023-11-12/Users/Alejandra/Desktop/DIR65.XLS/ESTIMACIONES/CESMOPAC/CESMOPA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de Cuenta"/>
      <sheetName val="Estimacion No. 1"/>
      <sheetName val="Estimacion No. 2"/>
      <sheetName val="Estimacion No. 3"/>
      <sheetName val="Estimacion No. 4"/>
      <sheetName val="Estimacion No. 5"/>
    </sheetNames>
    <sheetDataSet>
      <sheetData sheetId="0" refreshError="1"/>
      <sheetData sheetId="1" refreshError="1"/>
      <sheetData sheetId="2" refreshError="1"/>
      <sheetData sheetId="3" refreshError="1">
        <row r="10">
          <cell r="B10" t="str">
            <v/>
          </cell>
        </row>
        <row r="20">
          <cell r="D20" t="str">
            <v/>
          </cell>
        </row>
      </sheetData>
      <sheetData sheetId="4" refreshError="1">
        <row r="20">
          <cell r="D20">
            <v>0</v>
          </cell>
        </row>
        <row r="22">
          <cell r="D22">
            <v>0</v>
          </cell>
        </row>
        <row r="24">
          <cell r="D24">
            <v>0</v>
          </cell>
        </row>
        <row r="26">
          <cell r="D26">
            <v>0</v>
          </cell>
        </row>
        <row r="30">
          <cell r="D30">
            <v>0</v>
          </cell>
        </row>
        <row r="31">
          <cell r="C31">
            <v>0</v>
          </cell>
        </row>
        <row r="32">
          <cell r="C32">
            <v>0</v>
          </cell>
        </row>
        <row r="34">
          <cell r="D34">
            <v>0</v>
          </cell>
        </row>
      </sheetData>
      <sheetData sheetId="5" refreshError="1">
        <row r="20">
          <cell r="D20">
            <v>0</v>
          </cell>
        </row>
        <row r="22">
          <cell r="D22">
            <v>0</v>
          </cell>
        </row>
        <row r="24">
          <cell r="D24">
            <v>0</v>
          </cell>
        </row>
        <row r="26">
          <cell r="D26">
            <v>0</v>
          </cell>
        </row>
        <row r="30">
          <cell r="D30">
            <v>0</v>
          </cell>
        </row>
        <row r="31">
          <cell r="C31">
            <v>0</v>
          </cell>
        </row>
        <row r="32">
          <cell r="C32">
            <v>0</v>
          </cell>
        </row>
        <row r="34">
          <cell r="D3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o Cuenta"/>
      <sheetName val="Estimac"/>
      <sheetName val="AireAcondic"/>
      <sheetName val="Extraccion (2)"/>
      <sheetName val="Resum-Presentado"/>
      <sheetName val="Resum Oct"/>
      <sheetName val="Resum30Oct"/>
      <sheetName val="Resum Nov"/>
      <sheetName val="Rgen"/>
      <sheetName val="P01 AL 10"/>
      <sheetName val="Rgen (2)"/>
      <sheetName val="Gene_Estim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ALB-1.01</v>
          </cell>
          <cell r="C4" t="str">
            <v>CADENA  DE  CONCRETO  F'C=200  KG/CM2.  CON  AGREGADO MAXIMO DE 19 MM., INCLUYE; CARGO DIRECTO POR EL COSTO DE LOS MATERIALES QUE INTERVENGAN, FLETE A OBRA, DESPERDICIO, ACARREO HASTA EL LUGAR DE SU UTILIZACION, HABILITADO DEL ACERO DE REFUERZO, CIMBRADO,</v>
          </cell>
          <cell r="D4" t="str">
            <v>ML</v>
          </cell>
          <cell r="E4">
            <v>299.64999999999998</v>
          </cell>
          <cell r="H4">
            <v>92.2</v>
          </cell>
          <cell r="J4">
            <v>185.29</v>
          </cell>
          <cell r="K4">
            <v>17083.740000000002</v>
          </cell>
        </row>
        <row r="5">
          <cell r="B5" t="str">
            <v>ALB-1.02</v>
          </cell>
          <cell r="C5" t="str">
            <v>INTERMEDIA Y DE REMATE DE 15 X 15 CM. DE SECCION, ARMADA CON 4 VARILLAS DEL NO.3 A.R. Y ESTRIBOS DEL NO.2 A CADA 20 CM. CON CIMBRA COMUN.</v>
          </cell>
          <cell r="D5" t="str">
            <v>ML</v>
          </cell>
          <cell r="E5">
            <v>329.45</v>
          </cell>
          <cell r="H5">
            <v>192.72</v>
          </cell>
          <cell r="J5">
            <v>174.14</v>
          </cell>
          <cell r="K5">
            <v>33560.26</v>
          </cell>
        </row>
        <row r="6">
          <cell r="B6" t="str">
            <v>ALB-3.01</v>
          </cell>
          <cell r="C6" t="str">
            <v>CASTILLO  DE  CONCRETO  F'C=150  KG/CM2.  AGREGADO  MAXIMO  DE  19  MM., INCLUYE; CARGO DIRECTO POR EL COSTO DE LOS MATERIALES QUE INTERVENGAN, FLETE A OBRA, DESPERDICIO, ACARREO HASTA EL LUGAR DE SU UTILIZACION, HABILITADO DEL ACERO DE REFUERZO, CIMBRA Y</v>
          </cell>
          <cell r="D6" t="str">
            <v>ML</v>
          </cell>
          <cell r="E6">
            <v>655.85</v>
          </cell>
          <cell r="H6">
            <v>162.52000000000001</v>
          </cell>
          <cell r="J6">
            <v>161.04</v>
          </cell>
          <cell r="K6">
            <v>26172.22</v>
          </cell>
        </row>
        <row r="7">
          <cell r="B7" t="str">
            <v>pre-dem 2.12</v>
          </cell>
          <cell r="C7" t="str">
            <v>SONDEOS DE PENETRACION ESTANDARD</v>
          </cell>
          <cell r="D7" t="str">
            <v>ML</v>
          </cell>
          <cell r="E7">
            <v>45</v>
          </cell>
          <cell r="F7">
            <v>0</v>
          </cell>
          <cell r="G7">
            <v>35</v>
          </cell>
          <cell r="H7">
            <v>35</v>
          </cell>
          <cell r="J7">
            <v>2419.81</v>
          </cell>
          <cell r="K7">
            <v>84693.35</v>
          </cell>
        </row>
        <row r="8">
          <cell r="B8" t="str">
            <v>pre-dem. 1.01</v>
          </cell>
          <cell r="C8" t="str">
            <v>DEMOLICION  Y  DESMONTAJE  DE  ELEMENTOS.  MEDIDA EN SITIO, EJECUTADA EN FORMA MANUAL. INCLUYE: CARGO DIRECTO POR EL COSTO DE LA MANO DE OBRA REQUERIDA, LIMPIEZA DE AREA, ACARREO INTERIOR DEL ESCOMBRO, AL BANCO DE OBRA INDICADO POR EL INSTITUTO, EQUIPO DE</v>
          </cell>
          <cell r="D8" t="str">
            <v>PZA</v>
          </cell>
          <cell r="E8">
            <v>2</v>
          </cell>
          <cell r="F8">
            <v>0</v>
          </cell>
          <cell r="G8">
            <v>2</v>
          </cell>
          <cell r="H8">
            <v>2</v>
          </cell>
          <cell r="J8">
            <v>156.21</v>
          </cell>
          <cell r="K8">
            <v>312.42</v>
          </cell>
        </row>
        <row r="9">
          <cell r="B9" t="str">
            <v>pre-dem. 1.02</v>
          </cell>
          <cell r="C9" t="str">
            <v>DESMONTAJE DE PUERTAS DE HERRERÍA, CONTRAMARCO METÁLICO DE DIMENSIONES 0.80 X 2.00 m, CON RECUPERACIÓN PARA ALMACENAJE.</v>
          </cell>
          <cell r="D9" t="str">
            <v>PZA</v>
          </cell>
          <cell r="E9">
            <v>2</v>
          </cell>
          <cell r="F9">
            <v>0</v>
          </cell>
          <cell r="G9">
            <v>1</v>
          </cell>
          <cell r="H9">
            <v>1</v>
          </cell>
          <cell r="J9">
            <v>153.21</v>
          </cell>
          <cell r="K9">
            <v>153.21</v>
          </cell>
        </row>
        <row r="10">
          <cell r="B10" t="str">
            <v>pre-dem. 1.04</v>
          </cell>
          <cell r="C10" t="str">
            <v>DESMONTAJE DE PUERTAS DE MADERA, CONTRAMARCO MADERA DE DIMENSIONES 0.95 X 2.10 m, CON RECUPERACIÓN PARA ALMACENAJE.</v>
          </cell>
          <cell r="D10" t="str">
            <v>PZA</v>
          </cell>
          <cell r="E10">
            <v>3</v>
          </cell>
          <cell r="F10">
            <v>0</v>
          </cell>
          <cell r="G10">
            <v>2</v>
          </cell>
          <cell r="H10">
            <v>2</v>
          </cell>
          <cell r="J10">
            <v>190.09</v>
          </cell>
          <cell r="K10">
            <v>380.18</v>
          </cell>
        </row>
        <row r="11">
          <cell r="B11" t="str">
            <v>pre-dem. 1.06.a</v>
          </cell>
          <cell r="C11" t="str">
            <v>DESMONTAJE DE CANCELERÍA DE HERRERÍA, CON RECUPERACIÓN PARA ALMACENAJE, DE VARIAS DIMENSIONES, INCLUYE DESMONTAJE DE VIDRIO. 0.49 X 0.49 m</v>
          </cell>
          <cell r="D11" t="str">
            <v>PZA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J11">
            <v>86.54</v>
          </cell>
          <cell r="K11">
            <v>86.54</v>
          </cell>
        </row>
        <row r="12">
          <cell r="B12" t="str">
            <v>pre-dem. 1.06.b</v>
          </cell>
          <cell r="C12" t="str">
            <v>1.00 X 1.27 m</v>
          </cell>
          <cell r="D12" t="str">
            <v>PZA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J12">
            <v>150.74</v>
          </cell>
          <cell r="K12">
            <v>150.74</v>
          </cell>
        </row>
        <row r="13">
          <cell r="B13" t="str">
            <v>pre-dem. 1.06.c</v>
          </cell>
          <cell r="C13" t="str">
            <v>1.52 X 1.25</v>
          </cell>
          <cell r="D13" t="str">
            <v>PZA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J13">
            <v>183.71</v>
          </cell>
          <cell r="K13">
            <v>183.71</v>
          </cell>
        </row>
        <row r="14">
          <cell r="B14" t="str">
            <v>pre-dem. 1.07</v>
          </cell>
          <cell r="C14" t="str">
            <v xml:space="preserve"> </v>
          </cell>
          <cell r="D14" t="str">
            <v>PZA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J14">
            <v>85.98</v>
          </cell>
          <cell r="K14">
            <v>85.98</v>
          </cell>
        </row>
        <row r="15">
          <cell r="B15" t="str">
            <v>pre-dem. 1.08.a</v>
          </cell>
          <cell r="C15" t="str">
            <v>DESMONTAJE DE CANCELERÍA DE ALUMINIO, CON RECUPERACIÓN PARA ALMACENAJE, CON VARIAS DIMENSIONES, INCLUYE DESMONTAJE DE VIDRIO. VENTANA DE 0.79 X 0.84 m</v>
          </cell>
          <cell r="D15" t="str">
            <v>PZA</v>
          </cell>
          <cell r="E15">
            <v>1</v>
          </cell>
          <cell r="F15">
            <v>0</v>
          </cell>
          <cell r="G15">
            <v>1</v>
          </cell>
          <cell r="H15">
            <v>1</v>
          </cell>
          <cell r="J15">
            <v>102.29</v>
          </cell>
          <cell r="K15">
            <v>102.29</v>
          </cell>
        </row>
        <row r="16">
          <cell r="B16" t="str">
            <v>pre-dem. 1.10</v>
          </cell>
          <cell r="C16" t="str">
            <v>DESMANTELAMIENTO DE LUMINARIOS CON GABINETES METÁLICOS DE 0.30 X 1.20 m</v>
          </cell>
          <cell r="D16" t="str">
            <v>PZA</v>
          </cell>
          <cell r="E16">
            <v>4</v>
          </cell>
          <cell r="F16">
            <v>0</v>
          </cell>
          <cell r="G16">
            <v>2</v>
          </cell>
          <cell r="H16">
            <v>2</v>
          </cell>
          <cell r="J16">
            <v>116.92</v>
          </cell>
          <cell r="K16">
            <v>233.84</v>
          </cell>
        </row>
        <row r="17">
          <cell r="B17" t="str">
            <v>pre-dem. 1.11</v>
          </cell>
          <cell r="C17" t="str">
            <v>DESMANTELAMIENTO DE LUMINARIOS CON GABINETES METÁLICOS DE 0.30 X 2.40 m</v>
          </cell>
          <cell r="D17" t="str">
            <v>PZA</v>
          </cell>
          <cell r="E17">
            <v>2</v>
          </cell>
          <cell r="F17">
            <v>0</v>
          </cell>
          <cell r="G17">
            <v>2</v>
          </cell>
          <cell r="H17">
            <v>2</v>
          </cell>
          <cell r="J17">
            <v>157.19</v>
          </cell>
          <cell r="K17">
            <v>314.38</v>
          </cell>
        </row>
        <row r="18">
          <cell r="B18" t="str">
            <v>pre-dem. 1.12</v>
          </cell>
          <cell r="C18" t="str">
            <v>DESMANTELAMIENTO DE LUMINARIOS CON GABINETES CIRCULARES DE 30 cm DE DIÁMETRO</v>
          </cell>
          <cell r="D18" t="str">
            <v>PZA</v>
          </cell>
          <cell r="E18">
            <v>3</v>
          </cell>
          <cell r="F18">
            <v>0</v>
          </cell>
          <cell r="G18">
            <v>2</v>
          </cell>
          <cell r="H18">
            <v>2</v>
          </cell>
          <cell r="J18">
            <v>59.13</v>
          </cell>
          <cell r="K18">
            <v>118.26</v>
          </cell>
        </row>
        <row r="19">
          <cell r="B19" t="str">
            <v>pre-dem. 1.13</v>
          </cell>
          <cell r="C19" t="str">
            <v>DESMANTELAMIENTO DE TABLEROS ELÉCTRICOS CON 2 PASTILLAS DE 10 KVA</v>
          </cell>
          <cell r="D19" t="str">
            <v>PZA</v>
          </cell>
          <cell r="E19">
            <v>2</v>
          </cell>
          <cell r="F19">
            <v>0</v>
          </cell>
          <cell r="G19">
            <v>2</v>
          </cell>
          <cell r="H19">
            <v>2</v>
          </cell>
          <cell r="J19">
            <v>229.01</v>
          </cell>
          <cell r="K19">
            <v>458.02</v>
          </cell>
        </row>
        <row r="20">
          <cell r="B20" t="str">
            <v>pre-dem. 2.01</v>
          </cell>
          <cell r="C20" t="str">
            <v>DEMOLICIÓN DE REGISTRO SANITARIO DE 0.80 X 0.80 m, HECHO CON TABIQUE ROJO, TAPA Y CONTRATAPA METÁLICA.</v>
          </cell>
          <cell r="D20" t="str">
            <v>PZA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J20">
            <v>363.09</v>
          </cell>
          <cell r="K20">
            <v>363.09</v>
          </cell>
        </row>
        <row r="21">
          <cell r="B21" t="str">
            <v>pre-dem. 2.03</v>
          </cell>
          <cell r="C21" t="str">
            <v>DE MURO DE TABIQUE DE 14 CM DE ESPESOR , CON CADENAS, CASTILLOS, CORTE DE VARILLA Y RECUBRIMIENTOS.</v>
          </cell>
          <cell r="D21" t="str">
            <v>M2</v>
          </cell>
          <cell r="E21">
            <v>190</v>
          </cell>
          <cell r="F21">
            <v>0</v>
          </cell>
          <cell r="G21">
            <v>51.3</v>
          </cell>
          <cell r="H21">
            <v>51.3</v>
          </cell>
          <cell r="J21">
            <v>67.040000000000006</v>
          </cell>
          <cell r="K21">
            <v>3439.15</v>
          </cell>
        </row>
        <row r="22">
          <cell r="B22" t="str">
            <v>pre-dem. 2.05</v>
          </cell>
          <cell r="C22" t="str">
            <v>DEMOLICI N DE LOSA DE CONCRETO ARMADO CON ESPESOR DE 12 CM</v>
          </cell>
          <cell r="D22" t="str">
            <v>M2</v>
          </cell>
          <cell r="E22">
            <v>112</v>
          </cell>
          <cell r="F22">
            <v>0</v>
          </cell>
          <cell r="G22">
            <v>30.53</v>
          </cell>
          <cell r="H22">
            <v>30.53</v>
          </cell>
          <cell r="J22">
            <v>147.80000000000001</v>
          </cell>
          <cell r="K22">
            <v>4512.33</v>
          </cell>
        </row>
        <row r="23">
          <cell r="B23" t="str">
            <v>pre-dem. 2.06</v>
          </cell>
          <cell r="C23" t="str">
            <v>DEMOLICI N DE LOSETA VIN LICA EN PISOS</v>
          </cell>
          <cell r="D23" t="str">
            <v>M2</v>
          </cell>
          <cell r="E23">
            <v>73.5</v>
          </cell>
          <cell r="F23">
            <v>0</v>
          </cell>
          <cell r="G23">
            <v>61</v>
          </cell>
          <cell r="H23">
            <v>61</v>
          </cell>
          <cell r="J23">
            <v>7.49</v>
          </cell>
          <cell r="K23">
            <v>456.89</v>
          </cell>
        </row>
        <row r="24">
          <cell r="B24" t="str">
            <v>pre-dem. 2.09</v>
          </cell>
          <cell r="C24" t="str">
            <v>DEMOLICIÓN DE FIRME EN PISO DE OFICINAS</v>
          </cell>
          <cell r="D24" t="str">
            <v>M2</v>
          </cell>
          <cell r="E24">
            <v>76.5</v>
          </cell>
          <cell r="F24">
            <v>0</v>
          </cell>
          <cell r="G24">
            <v>61</v>
          </cell>
          <cell r="H24">
            <v>61</v>
          </cell>
          <cell r="J24">
            <v>113.72</v>
          </cell>
          <cell r="K24">
            <v>6936.92</v>
          </cell>
        </row>
        <row r="25">
          <cell r="B25" t="str">
            <v>pre-dem. 2.10</v>
          </cell>
          <cell r="C25" t="str">
            <v>TALA Y DEMOLICIÓN DE ÁRBOLES CON UNDIAM. 35 CM. ALTURA DE 10  MTS. PROM.</v>
          </cell>
          <cell r="D25" t="str">
            <v>PZA</v>
          </cell>
          <cell r="E25">
            <v>19</v>
          </cell>
          <cell r="F25">
            <v>0</v>
          </cell>
          <cell r="G25">
            <v>17</v>
          </cell>
          <cell r="H25">
            <v>17</v>
          </cell>
          <cell r="J25">
            <v>2926.16</v>
          </cell>
          <cell r="K25">
            <v>49744.72</v>
          </cell>
        </row>
        <row r="26">
          <cell r="B26" t="str">
            <v>pre-dem. 2.11</v>
          </cell>
          <cell r="C26" t="str">
            <v>DEMOLICIÓN DE RELLENO COMPACTADO ENTRE DOS FIRMES EXISTENTES A CONSIDERAR</v>
          </cell>
          <cell r="D26" t="str">
            <v>M3</v>
          </cell>
          <cell r="E26">
            <v>0.6</v>
          </cell>
          <cell r="F26">
            <v>0</v>
          </cell>
          <cell r="G26">
            <v>12.22</v>
          </cell>
          <cell r="H26">
            <v>12.22</v>
          </cell>
          <cell r="J26">
            <v>206.06</v>
          </cell>
          <cell r="K26">
            <v>2518.0500000000002</v>
          </cell>
        </row>
        <row r="27">
          <cell r="B27" t="str">
            <v>pre-dem. 4.01</v>
          </cell>
          <cell r="C27" t="str">
            <v>EXCAVACION EN CEPAS. MEDIDO EN BANCO. INCLUYE: CARGO DIRECTO POR EL COSTO DE LOS MATERIALES Y MANO DE OBRA QUE INTERVENGAN. TRAZO, ADEMES Y EXTRACCION DE ADEMES,AFINE DE TALUD Y FONDO DE EXCAVACION, TRASPALEO, ELEVACION Y ACARREO AL BANCO DE CARGA DECAMIO</v>
          </cell>
          <cell r="D27" t="str">
            <v>M3</v>
          </cell>
          <cell r="E27">
            <v>41.97</v>
          </cell>
          <cell r="F27">
            <v>0</v>
          </cell>
          <cell r="G27">
            <v>56.38</v>
          </cell>
          <cell r="H27">
            <v>56.38</v>
          </cell>
          <cell r="J27">
            <v>166.54</v>
          </cell>
          <cell r="K27">
            <v>9389.5300000000007</v>
          </cell>
        </row>
        <row r="28">
          <cell r="B28" t="str">
            <v>pre-dem. 5.01</v>
          </cell>
          <cell r="C28" t="str">
            <v>RELLENO    COMPACTADO.    AL    95 % DE SU PESO VOLUMETRICO SECO MAXIMO. MEDIDO EN SITIO DE COLOCACION, EN CAPAS DE 20 CM. DE ESPESOR. INCLUYE: CARGO DIRECTO POR EL COSTO DE LOS MATERIALES Y MANO DE OBRA QUE INTERVENGAN, AGUA, ACARREO HASTA EL LUGAR DE SU</v>
          </cell>
          <cell r="D28" t="str">
            <v>M3</v>
          </cell>
          <cell r="E28">
            <v>12.2</v>
          </cell>
          <cell r="F28">
            <v>0</v>
          </cell>
          <cell r="G28">
            <v>4.95</v>
          </cell>
          <cell r="H28">
            <v>4.95</v>
          </cell>
          <cell r="J28">
            <v>88.95</v>
          </cell>
          <cell r="K28">
            <v>440.3</v>
          </cell>
        </row>
        <row r="29">
          <cell r="B29" t="str">
            <v>pre-dem. 5.02</v>
          </cell>
          <cell r="C29" t="str">
            <v>EN CEPAS, POR MEDIO MECANICO CON MATERIAL LIMPIO INERTE  (TEPETATE) TRAIDO FUERA DE OBRA.</v>
          </cell>
          <cell r="D29" t="str">
            <v>M3</v>
          </cell>
          <cell r="E29">
            <v>22.25</v>
          </cell>
          <cell r="F29">
            <v>0</v>
          </cell>
          <cell r="G29">
            <v>51.08</v>
          </cell>
          <cell r="H29">
            <v>51.08</v>
          </cell>
          <cell r="J29">
            <v>270.56</v>
          </cell>
          <cell r="K29">
            <v>13820.2</v>
          </cell>
        </row>
        <row r="30">
          <cell r="B30" t="str">
            <v>PRE-TERR-2.01</v>
          </cell>
          <cell r="C30" t="str">
            <v>DEMOLICION Y DESMONTAJE DE ELEMENTOS. MEDIDA EN SITIO, EJECUTADA EN FORMA MECANICA, USANDO EQUIPO NEUMATICO. INCLUYE: CARGO DIRECTO POR EL COSTO DE LA MANO DE OBRA REQUERIDA, LIMPIEZA DE AREA, ACARREO INTERIOR DEL ESCOMBRO, AL BANCO DE OBRA INDICADO POR E</v>
          </cell>
          <cell r="D30" t="str">
            <v>M3</v>
          </cell>
          <cell r="E30">
            <v>7.36</v>
          </cell>
          <cell r="F30">
            <v>0</v>
          </cell>
          <cell r="G30">
            <v>4.82</v>
          </cell>
          <cell r="H30">
            <v>4.82</v>
          </cell>
          <cell r="J30">
            <v>740.21</v>
          </cell>
          <cell r="K30">
            <v>3567.81</v>
          </cell>
        </row>
        <row r="31">
          <cell r="B31" t="str">
            <v>PRE-TERR-2.01.b</v>
          </cell>
          <cell r="C31" t="str">
            <v>TECATEADO DE PISO DE CONCRETO ARMADO EN AREA DE REMODELACION (7 CM DE ESPESOR)</v>
          </cell>
          <cell r="D31" t="str">
            <v>M2</v>
          </cell>
          <cell r="E31">
            <v>307.25</v>
          </cell>
          <cell r="F31">
            <v>0</v>
          </cell>
          <cell r="G31">
            <v>309.72000000000003</v>
          </cell>
          <cell r="H31">
            <v>309.72000000000003</v>
          </cell>
          <cell r="J31">
            <v>24.85</v>
          </cell>
          <cell r="K31">
            <v>7696.54</v>
          </cell>
        </row>
        <row r="32">
          <cell r="B32" t="str">
            <v>PRE-TERR-2.02</v>
          </cell>
          <cell r="C32" t="str">
            <v>DE MURO DE TABIQUE DE 14 CM DE ESPESOR , CON CADENAS, CASTILLOS, CORTE DE VARILLA Y RECUBRIMIENTOS.</v>
          </cell>
          <cell r="D32" t="str">
            <v>M2</v>
          </cell>
          <cell r="E32">
            <v>60</v>
          </cell>
          <cell r="F32">
            <v>0</v>
          </cell>
          <cell r="G32">
            <v>26.66</v>
          </cell>
          <cell r="H32">
            <v>26.66</v>
          </cell>
          <cell r="J32">
            <v>40.46</v>
          </cell>
          <cell r="K32">
            <v>1078.6600000000001</v>
          </cell>
        </row>
        <row r="33">
          <cell r="B33" t="str">
            <v>PRE-TERR-2.04</v>
          </cell>
          <cell r="C33" t="str">
            <v>DE FALSO PLAFON DE TABLAROCA , COLGANTES Y CANALETAS.</v>
          </cell>
          <cell r="D33" t="str">
            <v>M2</v>
          </cell>
          <cell r="E33">
            <v>447.62</v>
          </cell>
          <cell r="F33">
            <v>0</v>
          </cell>
          <cell r="G33">
            <v>172.57</v>
          </cell>
          <cell r="H33">
            <v>172.57</v>
          </cell>
          <cell r="J33">
            <v>19.34</v>
          </cell>
          <cell r="K33">
            <v>3337.5</v>
          </cell>
        </row>
        <row r="34">
          <cell r="B34" t="str">
            <v>PRE-TERR-2.04.a</v>
          </cell>
          <cell r="C34" t="str">
            <v>DE PLAFON DE YESO</v>
          </cell>
          <cell r="D34" t="str">
            <v>M2</v>
          </cell>
          <cell r="E34">
            <v>147.91</v>
          </cell>
          <cell r="F34">
            <v>0</v>
          </cell>
          <cell r="G34">
            <v>114.29</v>
          </cell>
          <cell r="H34">
            <v>114.29</v>
          </cell>
          <cell r="J34">
            <v>27.61</v>
          </cell>
          <cell r="K34">
            <v>3155.55</v>
          </cell>
        </row>
        <row r="35">
          <cell r="B35" t="str">
            <v>PRE-TERR-2.05</v>
          </cell>
          <cell r="C35" t="str">
            <v>DE MARMOL EN CUBIERTA Y FRENTE DE BARRAS DE ATENCION AL PUBLICO CON RECUPERACION DEL MATERIAL.</v>
          </cell>
          <cell r="D35" t="str">
            <v>M2</v>
          </cell>
          <cell r="E35">
            <v>44.6</v>
          </cell>
          <cell r="F35">
            <v>0</v>
          </cell>
          <cell r="G35">
            <v>30.13</v>
          </cell>
          <cell r="H35">
            <v>30.13</v>
          </cell>
          <cell r="J35">
            <v>53.25</v>
          </cell>
          <cell r="K35">
            <v>1604.42</v>
          </cell>
        </row>
        <row r="36">
          <cell r="B36" t="str">
            <v>PRE-TERR-2.06</v>
          </cell>
          <cell r="C36" t="str">
            <v>DE LAMBRIN DE MADERA CON RECUPERACION</v>
          </cell>
          <cell r="D36" t="str">
            <v>M2</v>
          </cell>
          <cell r="E36">
            <v>47.52</v>
          </cell>
          <cell r="F36">
            <v>0</v>
          </cell>
          <cell r="G36">
            <v>74.66</v>
          </cell>
          <cell r="H36">
            <v>74.66</v>
          </cell>
          <cell r="J36">
            <v>76</v>
          </cell>
          <cell r="K36">
            <v>5674.16</v>
          </cell>
        </row>
        <row r="37">
          <cell r="B37" t="str">
            <v>PRE-TERR-2.07</v>
          </cell>
          <cell r="C37" t="str">
            <v>DE PISO DE MARMOL</v>
          </cell>
          <cell r="D37" t="str">
            <v>M2</v>
          </cell>
          <cell r="E37">
            <v>168.63</v>
          </cell>
          <cell r="F37">
            <v>0</v>
          </cell>
          <cell r="G37">
            <v>202.4</v>
          </cell>
          <cell r="H37">
            <v>202.4</v>
          </cell>
          <cell r="J37">
            <v>68.06</v>
          </cell>
          <cell r="K37">
            <v>13775.34</v>
          </cell>
        </row>
        <row r="38">
          <cell r="B38" t="str">
            <v>PRE-TERR-2.08</v>
          </cell>
          <cell r="C38" t="str">
            <v>DE PISO DE ALFOMBRA, INCLUYE BAJO ALFOMBRA Y TIRA DE PUAS.</v>
          </cell>
          <cell r="D38" t="str">
            <v>M2</v>
          </cell>
          <cell r="E38">
            <v>63.62</v>
          </cell>
          <cell r="F38">
            <v>0</v>
          </cell>
          <cell r="G38">
            <v>77.66</v>
          </cell>
          <cell r="H38">
            <v>77.66</v>
          </cell>
          <cell r="J38">
            <v>14.99</v>
          </cell>
          <cell r="K38">
            <v>1164.1199999999999</v>
          </cell>
        </row>
        <row r="39">
          <cell r="B39" t="str">
            <v>PRE-TERR-2.09</v>
          </cell>
          <cell r="C39" t="str">
            <v>DESMONTAJE DE MUEBLE DE MADERA DE 2.75 X 0.50 X 2.40 M DE ALTURA</v>
          </cell>
          <cell r="D39" t="str">
            <v>PZA</v>
          </cell>
          <cell r="E39">
            <v>1</v>
          </cell>
          <cell r="F39">
            <v>0</v>
          </cell>
          <cell r="G39">
            <v>1</v>
          </cell>
          <cell r="H39">
            <v>1</v>
          </cell>
          <cell r="J39">
            <v>218.94</v>
          </cell>
          <cell r="K39">
            <v>218.94</v>
          </cell>
        </row>
        <row r="40">
          <cell r="B40" t="str">
            <v>PRE-TERR-2.10</v>
          </cell>
          <cell r="C40" t="str">
            <v>DESMONTAJE DE MUEBLE DE MADERA DE 1.50 X 0.45 X 1.10 M DE ALTURA</v>
          </cell>
          <cell r="D40" t="str">
            <v>PZA</v>
          </cell>
          <cell r="E40">
            <v>1</v>
          </cell>
          <cell r="F40">
            <v>0</v>
          </cell>
          <cell r="G40">
            <v>1</v>
          </cell>
          <cell r="H40">
            <v>1</v>
          </cell>
          <cell r="J40">
            <v>145.96</v>
          </cell>
          <cell r="K40">
            <v>145.96</v>
          </cell>
        </row>
        <row r="41">
          <cell r="B41" t="str">
            <v>PRE-TERR-2.11</v>
          </cell>
          <cell r="C41" t="str">
            <v>DESMONTAJE DE MUEBLE DE MADERA DE 0.85 X 0.65 X 0.90 M DE ALTURA</v>
          </cell>
          <cell r="D41" t="str">
            <v>PZA</v>
          </cell>
          <cell r="E41">
            <v>1</v>
          </cell>
          <cell r="F41">
            <v>0</v>
          </cell>
          <cell r="G41">
            <v>1</v>
          </cell>
          <cell r="H41">
            <v>1</v>
          </cell>
          <cell r="J41">
            <v>109.47</v>
          </cell>
          <cell r="K41">
            <v>109.47</v>
          </cell>
        </row>
        <row r="42">
          <cell r="B42" t="str">
            <v>PRE-TERR-2.12</v>
          </cell>
          <cell r="C42" t="str">
            <v>DESMONTAJE DE PUERTA DE MADERA CON RECUPERACION PARA ALMACENAJE</v>
          </cell>
          <cell r="D42" t="str">
            <v>PZA</v>
          </cell>
          <cell r="E42">
            <v>17</v>
          </cell>
          <cell r="F42">
            <v>0</v>
          </cell>
          <cell r="G42">
            <v>18</v>
          </cell>
          <cell r="H42">
            <v>18</v>
          </cell>
          <cell r="J42">
            <v>175.15</v>
          </cell>
          <cell r="K42">
            <v>3152.7</v>
          </cell>
        </row>
        <row r="43">
          <cell r="B43" t="str">
            <v>PRE-TERR-2.13</v>
          </cell>
          <cell r="C43" t="str">
            <v>DESMONTAJE DE CANCELERIA DE MADERA Y VIDRIO CON RECUPERACION PARA ALMACENAJE</v>
          </cell>
          <cell r="D43" t="str">
            <v>M2</v>
          </cell>
          <cell r="E43">
            <v>51.96</v>
          </cell>
          <cell r="F43">
            <v>0</v>
          </cell>
          <cell r="G43">
            <v>47.66</v>
          </cell>
          <cell r="H43">
            <v>47.66</v>
          </cell>
          <cell r="J43">
            <v>76.760000000000005</v>
          </cell>
          <cell r="K43">
            <v>3658.38</v>
          </cell>
        </row>
        <row r="44">
          <cell r="B44" t="str">
            <v>PRE-TERR-2.14</v>
          </cell>
          <cell r="C44" t="str">
            <v>DESMONTAJE DE CANCELERIA DE ALUMINIO Y VIDRIO CON RECUPERACION PARA ALMACENAJE</v>
          </cell>
          <cell r="D44" t="str">
            <v>M2</v>
          </cell>
          <cell r="E44">
            <v>144.77000000000001</v>
          </cell>
          <cell r="F44">
            <v>0</v>
          </cell>
          <cell r="G44">
            <v>80.16</v>
          </cell>
          <cell r="H44">
            <v>80.16</v>
          </cell>
          <cell r="J44">
            <v>76.760000000000005</v>
          </cell>
          <cell r="K44">
            <v>6153.08</v>
          </cell>
        </row>
        <row r="45">
          <cell r="B45" t="str">
            <v>PRE-TERR-2.15</v>
          </cell>
          <cell r="C45" t="str">
            <v>DESMONTAJE DE HERRERIA, PROTECCIONES Y VIDRIO CON RECUPERACION PARA ALMACENAJE</v>
          </cell>
          <cell r="D45" t="str">
            <v>M2</v>
          </cell>
          <cell r="E45">
            <v>29.45</v>
          </cell>
          <cell r="F45">
            <v>0</v>
          </cell>
          <cell r="G45">
            <v>62.81</v>
          </cell>
          <cell r="H45">
            <v>62.81</v>
          </cell>
          <cell r="J45">
            <v>70.61</v>
          </cell>
          <cell r="K45">
            <v>4435.01</v>
          </cell>
        </row>
        <row r="46">
          <cell r="B46" t="str">
            <v>PRE-TERR-2.16</v>
          </cell>
          <cell r="C46" t="str">
            <v>DESMONTAJE DE MUEBLES SANITARIOS</v>
          </cell>
          <cell r="D46" t="str">
            <v>PZA</v>
          </cell>
          <cell r="E46">
            <v>11</v>
          </cell>
          <cell r="F46">
            <v>0</v>
          </cell>
          <cell r="G46">
            <v>11</v>
          </cell>
          <cell r="H46">
            <v>11</v>
          </cell>
          <cell r="J46">
            <v>165.62</v>
          </cell>
          <cell r="K46">
            <v>1821.82</v>
          </cell>
        </row>
        <row r="47">
          <cell r="B47" t="str">
            <v>PRE-TERR-2.17</v>
          </cell>
          <cell r="C47" t="str">
            <v>DESMONTE DE LAMPARA FLUORESCENTE DE 0.30 X 1.22 M</v>
          </cell>
          <cell r="D47" t="str">
            <v>PZA</v>
          </cell>
          <cell r="E47">
            <v>36</v>
          </cell>
          <cell r="F47">
            <v>0</v>
          </cell>
          <cell r="G47">
            <v>36</v>
          </cell>
          <cell r="H47">
            <v>36</v>
          </cell>
          <cell r="J47">
            <v>196.55</v>
          </cell>
          <cell r="K47">
            <v>7075.8</v>
          </cell>
        </row>
        <row r="48">
          <cell r="B48" t="str">
            <v>PRE-TERR-2.18</v>
          </cell>
          <cell r="C48" t="str">
            <v>DESMONTAJE DE LAMPARA CUADRADA CON RETICULA.</v>
          </cell>
          <cell r="D48" t="str">
            <v>PZA</v>
          </cell>
          <cell r="E48">
            <v>13</v>
          </cell>
          <cell r="F48">
            <v>0</v>
          </cell>
          <cell r="G48">
            <v>13</v>
          </cell>
          <cell r="H48">
            <v>13</v>
          </cell>
          <cell r="J48">
            <v>196.55</v>
          </cell>
          <cell r="K48">
            <v>2555.15</v>
          </cell>
        </row>
        <row r="49">
          <cell r="B49" t="str">
            <v>PRE-TERR-2.19</v>
          </cell>
          <cell r="C49" t="str">
            <v>DEMOLICION DE LOSETA VINILICA</v>
          </cell>
          <cell r="D49" t="str">
            <v>M2</v>
          </cell>
          <cell r="E49">
            <v>91.92</v>
          </cell>
          <cell r="F49">
            <v>0</v>
          </cell>
          <cell r="G49">
            <v>54.1</v>
          </cell>
          <cell r="H49">
            <v>54.1</v>
          </cell>
          <cell r="J49">
            <v>20.61</v>
          </cell>
          <cell r="K49">
            <v>1115</v>
          </cell>
        </row>
        <row r="50">
          <cell r="B50" t="str">
            <v>PRE-TERR-2.20</v>
          </cell>
          <cell r="C50" t="str">
            <v>DEMOLICION DE LOSETA CERAMICA EN PISO</v>
          </cell>
          <cell r="D50" t="str">
            <v>M2</v>
          </cell>
          <cell r="E50">
            <v>20.93</v>
          </cell>
          <cell r="F50">
            <v>0</v>
          </cell>
          <cell r="G50">
            <v>36.36</v>
          </cell>
          <cell r="H50">
            <v>36.36</v>
          </cell>
          <cell r="J50">
            <v>23.94</v>
          </cell>
          <cell r="K50">
            <v>870.46</v>
          </cell>
        </row>
        <row r="51">
          <cell r="B51" t="str">
            <v>PRE-TERR-7.03</v>
          </cell>
          <cell r="C51" t="str">
            <v>DEMOLICION DE APLANADO DE PEGAZULEJO EN BAÑOS</v>
          </cell>
          <cell r="D51" t="str">
            <v>M2</v>
          </cell>
          <cell r="E51">
            <v>26.38</v>
          </cell>
          <cell r="F51">
            <v>0</v>
          </cell>
          <cell r="G51">
            <v>69.05</v>
          </cell>
          <cell r="H51">
            <v>69.05</v>
          </cell>
          <cell r="J51">
            <v>32.159999999999997</v>
          </cell>
          <cell r="K51">
            <v>2220.65</v>
          </cell>
        </row>
        <row r="52">
          <cell r="B52" t="str">
            <v>PRE-TERR-7.04</v>
          </cell>
          <cell r="C52" t="str">
            <v>DEMOLICION DE MOSAICO VENECIANO EN PISOS</v>
          </cell>
          <cell r="D52" t="str">
            <v>M2</v>
          </cell>
          <cell r="E52">
            <v>41.72</v>
          </cell>
          <cell r="F52">
            <v>0</v>
          </cell>
          <cell r="G52">
            <v>85.78</v>
          </cell>
          <cell r="H52">
            <v>85.78</v>
          </cell>
          <cell r="J52">
            <v>39.340000000000003</v>
          </cell>
          <cell r="K52">
            <v>3374.59</v>
          </cell>
        </row>
        <row r="53">
          <cell r="B53" t="str">
            <v>PRE-TERR-7.05</v>
          </cell>
          <cell r="C53" t="str">
            <v>DEMOLICION DE YESO EN MUROS</v>
          </cell>
          <cell r="D53" t="str">
            <v>M2</v>
          </cell>
          <cell r="E53">
            <v>86.36</v>
          </cell>
          <cell r="F53">
            <v>0</v>
          </cell>
          <cell r="G53">
            <v>77.2</v>
          </cell>
          <cell r="H53">
            <v>77.2</v>
          </cell>
          <cell r="J53">
            <v>28.38</v>
          </cell>
          <cell r="K53">
            <v>2190.94</v>
          </cell>
        </row>
        <row r="54">
          <cell r="B54" t="str">
            <v>PRE-TERR-7.06</v>
          </cell>
          <cell r="C54" t="str">
            <v>DESMANTELAMIENTO  DE CANCEL DE MADERA CON ALMA DE UNICEL.</v>
          </cell>
          <cell r="D54" t="str">
            <v>M2</v>
          </cell>
          <cell r="E54">
            <v>8.39</v>
          </cell>
          <cell r="F54">
            <v>0</v>
          </cell>
          <cell r="G54">
            <v>4.42</v>
          </cell>
          <cell r="H54">
            <v>4.42</v>
          </cell>
          <cell r="J54">
            <v>50.22</v>
          </cell>
          <cell r="K54">
            <v>221.97</v>
          </cell>
        </row>
        <row r="55">
          <cell r="B55" t="str">
            <v>PRE-TERR-7.07</v>
          </cell>
          <cell r="C55" t="str">
            <v>DESMANTELAMIENTO DE MURO DE DUROCK</v>
          </cell>
          <cell r="D55" t="str">
            <v>M2</v>
          </cell>
          <cell r="E55">
            <v>6.76</v>
          </cell>
          <cell r="F55">
            <v>0</v>
          </cell>
          <cell r="G55">
            <v>9.36</v>
          </cell>
          <cell r="H55">
            <v>9.36</v>
          </cell>
          <cell r="J55">
            <v>29.24</v>
          </cell>
          <cell r="K55">
            <v>273.69</v>
          </cell>
        </row>
        <row r="56">
          <cell r="B56" t="str">
            <v>PRE-TERR-7.08</v>
          </cell>
          <cell r="C56" t="str">
            <v>DEMOLICION DE APLANADO DE CEMENTO-ARENA  EN MUROS</v>
          </cell>
          <cell r="D56" t="str">
            <v>M2</v>
          </cell>
          <cell r="E56">
            <v>26.38</v>
          </cell>
          <cell r="F56">
            <v>0</v>
          </cell>
          <cell r="G56">
            <v>69.05</v>
          </cell>
          <cell r="H56">
            <v>69.05</v>
          </cell>
          <cell r="J56">
            <v>32.159999999999997</v>
          </cell>
          <cell r="K56">
            <v>2220.65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PA05"/>
      <sheetName val="FINAPA05 (2)"/>
      <sheetName val="addaro"/>
      <sheetName val="addaro (2)"/>
      <sheetName val="addaro (3)"/>
      <sheetName val="ARCIDES"/>
      <sheetName val="larou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Switch Board"/>
      <sheetName val="Ingresos"/>
      <sheetName val="Gastos y Programa de C"/>
      <sheetName val="Operación"/>
      <sheetName val="Inversión"/>
      <sheetName val="Edos Fin"/>
      <sheetName val="Fiscal"/>
      <sheetName val="Usos y Fuentes"/>
      <sheetName val="Resultados"/>
      <sheetName val="Check"/>
      <sheetName val="IE-11a Premisas Modelo Financ"/>
      <sheetName val="IE-11b Avance Económico de Obra"/>
      <sheetName val="IE-11c Avance RI por segmento"/>
      <sheetName val="IE-11d Crédito"/>
      <sheetName val="IE-11i Estado de Resultados"/>
      <sheetName val="IE-11e Fondos TIR"/>
      <sheetName val="IE-11f Módulo de Impuestos"/>
      <sheetName val="IE-11g Flujo de ejectivo"/>
      <sheetName val="IE-11h Balance"/>
      <sheetName val="IE-11j Resumen"/>
    </sheetNames>
    <sheetDataSet>
      <sheetData sheetId="0">
        <row r="20">
          <cell r="E20" t="str">
            <v>Autopista Coatzacoalcos - Villahermosa</v>
          </cell>
        </row>
        <row r="22">
          <cell r="E22" t="str">
            <v>Todas las cifras en mile de pesos</v>
          </cell>
        </row>
      </sheetData>
      <sheetData sheetId="1">
        <row r="16">
          <cell r="K16">
            <v>0.2</v>
          </cell>
        </row>
      </sheetData>
      <sheetData sheetId="2">
        <row r="13">
          <cell r="F13">
            <v>43040</v>
          </cell>
        </row>
      </sheetData>
      <sheetData sheetId="3">
        <row r="657">
          <cell r="H657">
            <v>13167.316747321707</v>
          </cell>
        </row>
      </sheetData>
      <sheetData sheetId="4">
        <row r="149">
          <cell r="H149">
            <v>13167.316747321707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F3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Estado de Cuenta"/>
    </sheetNames>
    <sheetDataSet>
      <sheetData sheetId="0" refreshError="1"/>
      <sheetData sheetId="1" refreshError="1">
        <row r="5">
          <cell r="G5" t="str">
            <v>UE: Sitios Históricos y culturales</v>
          </cell>
        </row>
        <row r="6">
          <cell r="H6" t="str">
            <v>01.- Restauración</v>
          </cell>
        </row>
        <row r="7">
          <cell r="H7" t="str">
            <v>6114.- Infraestructura Industrial, Comercial y Públicos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57EE-8A5C-45F8-B30D-C0F17E24F801}">
  <dimension ref="A1:Q788"/>
  <sheetViews>
    <sheetView tabSelected="1" view="pageBreakPreview" zoomScale="91" zoomScaleNormal="85" zoomScaleSheetLayoutView="91" workbookViewId="0">
      <pane xSplit="1" ySplit="1" topLeftCell="B665" activePane="bottomRight" state="frozen"/>
      <selection activeCell="P21" sqref="P21"/>
      <selection pane="topRight" activeCell="P21" sqref="P21"/>
      <selection pane="bottomLeft" activeCell="P21" sqref="P21"/>
      <selection pane="bottomRight" activeCell="J707" sqref="J707"/>
    </sheetView>
  </sheetViews>
  <sheetFormatPr baseColWidth="10" defaultColWidth="11.42578125" defaultRowHeight="12.75"/>
  <cols>
    <col min="1" max="1" width="5.7109375" style="96" customWidth="1"/>
    <col min="2" max="4" width="15.7109375" style="96" customWidth="1"/>
    <col min="5" max="5" width="21.5703125" style="96" bestFit="1" customWidth="1"/>
    <col min="6" max="6" width="15.7109375" style="96" customWidth="1"/>
    <col min="7" max="7" width="24.140625" style="96" bestFit="1" customWidth="1"/>
    <col min="8" max="8" width="20.42578125" style="96" bestFit="1" customWidth="1"/>
    <col min="9" max="9" width="25.42578125" style="96" bestFit="1" customWidth="1"/>
    <col min="10" max="10" width="22.28515625" style="96" customWidth="1"/>
    <col min="11" max="11" width="15.7109375" style="96" customWidth="1"/>
    <col min="12" max="17" width="20.42578125" style="96" bestFit="1" customWidth="1"/>
    <col min="18" max="16384" width="11.42578125" style="96"/>
  </cols>
  <sheetData>
    <row r="1" spans="1:17" s="95" customFormat="1" ht="38.25">
      <c r="A1" s="93" t="s">
        <v>99</v>
      </c>
      <c r="B1" s="94" t="s">
        <v>123</v>
      </c>
      <c r="C1" s="94" t="s">
        <v>106</v>
      </c>
      <c r="D1" s="94" t="s">
        <v>143</v>
      </c>
      <c r="E1" s="94" t="s">
        <v>102</v>
      </c>
      <c r="F1" s="94" t="s">
        <v>125</v>
      </c>
      <c r="G1" s="93" t="s">
        <v>107</v>
      </c>
      <c r="H1" s="93" t="s">
        <v>103</v>
      </c>
      <c r="I1" s="94" t="s">
        <v>105</v>
      </c>
      <c r="J1" s="94" t="s">
        <v>108</v>
      </c>
      <c r="K1" s="94" t="s">
        <v>109</v>
      </c>
      <c r="L1" s="94" t="s">
        <v>104</v>
      </c>
      <c r="M1" s="94" t="s">
        <v>138</v>
      </c>
      <c r="N1" s="94" t="s">
        <v>148</v>
      </c>
      <c r="O1" s="94" t="s">
        <v>346</v>
      </c>
      <c r="P1" s="94" t="s">
        <v>347</v>
      </c>
      <c r="Q1" s="94" t="s">
        <v>457</v>
      </c>
    </row>
    <row r="2" spans="1:17" ht="15" customHeight="1">
      <c r="A2" s="97">
        <v>1</v>
      </c>
      <c r="B2" s="101" t="s">
        <v>124</v>
      </c>
      <c r="C2" s="101">
        <v>46118</v>
      </c>
      <c r="D2" s="101">
        <v>46144</v>
      </c>
      <c r="E2" s="106" t="s">
        <v>112</v>
      </c>
      <c r="F2" s="98" t="s">
        <v>130</v>
      </c>
      <c r="G2" s="99" t="s">
        <v>101</v>
      </c>
      <c r="H2" s="100" t="s">
        <v>131</v>
      </c>
      <c r="I2" s="104" t="s">
        <v>132</v>
      </c>
      <c r="J2" s="102" t="s">
        <v>111</v>
      </c>
      <c r="K2" s="103">
        <v>30</v>
      </c>
      <c r="L2" s="104" t="s">
        <v>110</v>
      </c>
      <c r="M2" s="104" t="s">
        <v>139</v>
      </c>
      <c r="N2" s="102"/>
      <c r="O2" s="109"/>
      <c r="P2" s="109"/>
      <c r="Q2" s="105" t="s">
        <v>546</v>
      </c>
    </row>
    <row r="3" spans="1:17" ht="15" customHeight="1">
      <c r="A3" s="97">
        <v>2</v>
      </c>
      <c r="B3" s="101" t="s">
        <v>124</v>
      </c>
      <c r="C3" s="101">
        <v>46118</v>
      </c>
      <c r="D3" s="101">
        <v>46144</v>
      </c>
      <c r="E3" s="106" t="s">
        <v>119</v>
      </c>
      <c r="F3" s="98" t="s">
        <v>130</v>
      </c>
      <c r="G3" s="99" t="s">
        <v>101</v>
      </c>
      <c r="H3" s="100" t="s">
        <v>131</v>
      </c>
      <c r="I3" s="104" t="s">
        <v>132</v>
      </c>
      <c r="J3" s="102" t="s">
        <v>111</v>
      </c>
      <c r="K3" s="103">
        <v>30</v>
      </c>
      <c r="L3" s="104" t="s">
        <v>110</v>
      </c>
      <c r="M3" s="104" t="s">
        <v>139</v>
      </c>
      <c r="N3" s="102"/>
      <c r="O3" s="109"/>
      <c r="P3" s="109"/>
      <c r="Q3" s="105" t="s">
        <v>546</v>
      </c>
    </row>
    <row r="4" spans="1:17" ht="15" customHeight="1">
      <c r="A4" s="97">
        <v>3</v>
      </c>
      <c r="B4" s="101" t="s">
        <v>124</v>
      </c>
      <c r="C4" s="101">
        <v>46118</v>
      </c>
      <c r="D4" s="101">
        <v>46142</v>
      </c>
      <c r="E4" s="106" t="s">
        <v>118</v>
      </c>
      <c r="F4" s="98" t="s">
        <v>130</v>
      </c>
      <c r="G4" s="99" t="s">
        <v>101</v>
      </c>
      <c r="H4" s="100" t="s">
        <v>131</v>
      </c>
      <c r="I4" s="104" t="s">
        <v>132</v>
      </c>
      <c r="J4" s="102" t="s">
        <v>111</v>
      </c>
      <c r="K4" s="103">
        <v>30</v>
      </c>
      <c r="L4" s="104" t="s">
        <v>110</v>
      </c>
      <c r="M4" s="104" t="s">
        <v>139</v>
      </c>
      <c r="N4" s="102"/>
      <c r="O4" s="109"/>
      <c r="P4" s="109"/>
      <c r="Q4" s="105" t="s">
        <v>546</v>
      </c>
    </row>
    <row r="5" spans="1:17" ht="15" customHeight="1">
      <c r="A5" s="97">
        <v>4</v>
      </c>
      <c r="B5" s="101" t="s">
        <v>124</v>
      </c>
      <c r="C5" s="101">
        <v>46118</v>
      </c>
      <c r="D5" s="101">
        <v>46142</v>
      </c>
      <c r="E5" s="106" t="s">
        <v>117</v>
      </c>
      <c r="F5" s="98" t="s">
        <v>130</v>
      </c>
      <c r="G5" s="99" t="s">
        <v>101</v>
      </c>
      <c r="H5" s="100" t="s">
        <v>131</v>
      </c>
      <c r="I5" s="104" t="s">
        <v>132</v>
      </c>
      <c r="J5" s="102" t="s">
        <v>111</v>
      </c>
      <c r="K5" s="103">
        <v>30</v>
      </c>
      <c r="L5" s="104" t="s">
        <v>110</v>
      </c>
      <c r="M5" s="104" t="s">
        <v>139</v>
      </c>
      <c r="N5" s="102"/>
      <c r="O5" s="109"/>
      <c r="P5" s="109"/>
      <c r="Q5" s="105" t="s">
        <v>546</v>
      </c>
    </row>
    <row r="6" spans="1:17" ht="15" customHeight="1">
      <c r="A6" s="97">
        <v>5</v>
      </c>
      <c r="B6" s="101" t="s">
        <v>124</v>
      </c>
      <c r="C6" s="101">
        <v>46118</v>
      </c>
      <c r="D6" s="101">
        <v>46142</v>
      </c>
      <c r="E6" s="106" t="s">
        <v>115</v>
      </c>
      <c r="F6" s="98" t="s">
        <v>130</v>
      </c>
      <c r="G6" s="99" t="s">
        <v>101</v>
      </c>
      <c r="H6" s="100" t="s">
        <v>131</v>
      </c>
      <c r="I6" s="104" t="s">
        <v>132</v>
      </c>
      <c r="J6" s="102" t="s">
        <v>111</v>
      </c>
      <c r="K6" s="103">
        <v>30</v>
      </c>
      <c r="L6" s="104" t="s">
        <v>110</v>
      </c>
      <c r="M6" s="104" t="s">
        <v>139</v>
      </c>
      <c r="N6" s="102"/>
      <c r="O6" s="109"/>
      <c r="P6" s="109"/>
      <c r="Q6" s="105" t="s">
        <v>546</v>
      </c>
    </row>
    <row r="7" spans="1:17" ht="15" customHeight="1">
      <c r="A7" s="97">
        <v>6</v>
      </c>
      <c r="B7" s="101" t="s">
        <v>124</v>
      </c>
      <c r="C7" s="101">
        <v>46118</v>
      </c>
      <c r="D7" s="101">
        <v>46142</v>
      </c>
      <c r="E7" s="106" t="s">
        <v>122</v>
      </c>
      <c r="F7" s="98" t="s">
        <v>133</v>
      </c>
      <c r="G7" s="99" t="s">
        <v>101</v>
      </c>
      <c r="H7" s="100" t="s">
        <v>128</v>
      </c>
      <c r="I7" s="104" t="s">
        <v>134</v>
      </c>
      <c r="J7" s="102" t="s">
        <v>111</v>
      </c>
      <c r="K7" s="103">
        <v>30</v>
      </c>
      <c r="L7" s="104" t="s">
        <v>110</v>
      </c>
      <c r="M7" s="104" t="s">
        <v>139</v>
      </c>
      <c r="N7" s="102"/>
      <c r="O7" s="109"/>
      <c r="P7" s="109"/>
      <c r="Q7" s="105" t="s">
        <v>546</v>
      </c>
    </row>
    <row r="8" spans="1:17" ht="15" customHeight="1">
      <c r="A8" s="97">
        <v>7</v>
      </c>
      <c r="B8" s="101" t="s">
        <v>124</v>
      </c>
      <c r="C8" s="101">
        <v>46118</v>
      </c>
      <c r="D8" s="101">
        <v>46142</v>
      </c>
      <c r="E8" s="106" t="s">
        <v>116</v>
      </c>
      <c r="F8" s="98" t="s">
        <v>130</v>
      </c>
      <c r="G8" s="99" t="s">
        <v>101</v>
      </c>
      <c r="H8" s="100" t="s">
        <v>131</v>
      </c>
      <c r="I8" s="104" t="s">
        <v>132</v>
      </c>
      <c r="J8" s="102" t="s">
        <v>111</v>
      </c>
      <c r="K8" s="103">
        <v>30</v>
      </c>
      <c r="L8" s="104" t="s">
        <v>110</v>
      </c>
      <c r="M8" s="104" t="s">
        <v>139</v>
      </c>
      <c r="N8" s="102"/>
      <c r="O8" s="109"/>
      <c r="P8" s="109"/>
      <c r="Q8" s="105" t="s">
        <v>546</v>
      </c>
    </row>
    <row r="9" spans="1:17" ht="15" customHeight="1">
      <c r="A9" s="97">
        <v>8</v>
      </c>
      <c r="B9" s="101" t="s">
        <v>124</v>
      </c>
      <c r="C9" s="101">
        <v>46118</v>
      </c>
      <c r="D9" s="101">
        <v>46141</v>
      </c>
      <c r="E9" s="106" t="s">
        <v>121</v>
      </c>
      <c r="F9" s="98" t="s">
        <v>135</v>
      </c>
      <c r="G9" s="99" t="s">
        <v>101</v>
      </c>
      <c r="H9" s="100" t="s">
        <v>136</v>
      </c>
      <c r="I9" s="104" t="s">
        <v>137</v>
      </c>
      <c r="J9" s="102" t="s">
        <v>111</v>
      </c>
      <c r="K9" s="103">
        <v>30</v>
      </c>
      <c r="L9" s="104" t="s">
        <v>110</v>
      </c>
      <c r="M9" s="104" t="s">
        <v>139</v>
      </c>
      <c r="N9" s="102"/>
      <c r="O9" s="109"/>
      <c r="P9" s="109"/>
      <c r="Q9" s="105" t="s">
        <v>546</v>
      </c>
    </row>
    <row r="10" spans="1:17" ht="15" customHeight="1">
      <c r="A10" s="97">
        <v>9</v>
      </c>
      <c r="B10" s="101" t="s">
        <v>124</v>
      </c>
      <c r="C10" s="101">
        <v>46118</v>
      </c>
      <c r="D10" s="101">
        <v>46141</v>
      </c>
      <c r="E10" s="106" t="s">
        <v>114</v>
      </c>
      <c r="F10" s="98" t="s">
        <v>130</v>
      </c>
      <c r="G10" s="99" t="s">
        <v>101</v>
      </c>
      <c r="H10" s="100" t="s">
        <v>131</v>
      </c>
      <c r="I10" s="104" t="s">
        <v>132</v>
      </c>
      <c r="J10" s="102" t="s">
        <v>111</v>
      </c>
      <c r="K10" s="103">
        <v>30</v>
      </c>
      <c r="L10" s="104" t="s">
        <v>110</v>
      </c>
      <c r="M10" s="104" t="s">
        <v>139</v>
      </c>
      <c r="N10" s="102"/>
      <c r="O10" s="109"/>
      <c r="P10" s="109"/>
      <c r="Q10" s="105" t="s">
        <v>546</v>
      </c>
    </row>
    <row r="11" spans="1:17" ht="15" customHeight="1">
      <c r="A11" s="97">
        <v>10</v>
      </c>
      <c r="B11" s="101" t="s">
        <v>124</v>
      </c>
      <c r="C11" s="101">
        <v>46118</v>
      </c>
      <c r="D11" s="101">
        <v>46141</v>
      </c>
      <c r="E11" s="106" t="s">
        <v>120</v>
      </c>
      <c r="F11" s="98" t="s">
        <v>130</v>
      </c>
      <c r="G11" s="99" t="s">
        <v>101</v>
      </c>
      <c r="H11" s="100" t="s">
        <v>131</v>
      </c>
      <c r="I11" s="104" t="s">
        <v>132</v>
      </c>
      <c r="J11" s="102" t="s">
        <v>111</v>
      </c>
      <c r="K11" s="103">
        <v>30</v>
      </c>
      <c r="L11" s="104" t="s">
        <v>110</v>
      </c>
      <c r="M11" s="104" t="s">
        <v>139</v>
      </c>
      <c r="N11" s="102"/>
      <c r="O11" s="109"/>
      <c r="P11" s="109"/>
      <c r="Q11" s="105" t="s">
        <v>546</v>
      </c>
    </row>
    <row r="12" spans="1:17" ht="15" customHeight="1">
      <c r="A12" s="97">
        <v>11</v>
      </c>
      <c r="B12" s="101" t="s">
        <v>124</v>
      </c>
      <c r="C12" s="101">
        <v>46118</v>
      </c>
      <c r="D12" s="101">
        <v>46140</v>
      </c>
      <c r="E12" s="106" t="s">
        <v>113</v>
      </c>
      <c r="F12" s="98" t="s">
        <v>130</v>
      </c>
      <c r="G12" s="99" t="s">
        <v>101</v>
      </c>
      <c r="H12" s="100" t="s">
        <v>131</v>
      </c>
      <c r="I12" s="104" t="s">
        <v>132</v>
      </c>
      <c r="J12" s="102" t="s">
        <v>111</v>
      </c>
      <c r="K12" s="103">
        <v>30</v>
      </c>
      <c r="L12" s="104" t="s">
        <v>110</v>
      </c>
      <c r="M12" s="104" t="s">
        <v>139</v>
      </c>
      <c r="N12" s="102"/>
      <c r="O12" s="109"/>
      <c r="P12" s="109"/>
      <c r="Q12" s="105" t="s">
        <v>546</v>
      </c>
    </row>
    <row r="13" spans="1:17" ht="15" customHeight="1">
      <c r="A13" s="97">
        <v>12</v>
      </c>
      <c r="B13" s="101" t="s">
        <v>124</v>
      </c>
      <c r="C13" s="101">
        <v>46118</v>
      </c>
      <c r="D13" s="101">
        <v>46147</v>
      </c>
      <c r="E13" s="106" t="s">
        <v>140</v>
      </c>
      <c r="F13" s="98" t="s">
        <v>141</v>
      </c>
      <c r="G13" s="99" t="s">
        <v>144</v>
      </c>
      <c r="H13" s="100" t="s">
        <v>142</v>
      </c>
      <c r="I13" s="104" t="s">
        <v>145</v>
      </c>
      <c r="J13" s="102" t="s">
        <v>146</v>
      </c>
      <c r="K13" s="103">
        <v>7</v>
      </c>
      <c r="L13" s="104" t="s">
        <v>110</v>
      </c>
      <c r="M13" s="104" t="s">
        <v>147</v>
      </c>
      <c r="N13" s="104" t="s">
        <v>149</v>
      </c>
      <c r="O13" s="109"/>
      <c r="P13" s="109"/>
      <c r="Q13" s="114" t="s">
        <v>458</v>
      </c>
    </row>
    <row r="14" spans="1:17" ht="15" customHeight="1">
      <c r="A14" s="97">
        <v>13</v>
      </c>
      <c r="B14" s="101" t="s">
        <v>124</v>
      </c>
      <c r="C14" s="101">
        <v>46118</v>
      </c>
      <c r="D14" s="101">
        <v>46147</v>
      </c>
      <c r="E14" s="106" t="s">
        <v>150</v>
      </c>
      <c r="F14" s="98" t="s">
        <v>141</v>
      </c>
      <c r="G14" s="99" t="s">
        <v>144</v>
      </c>
      <c r="H14" s="100" t="s">
        <v>142</v>
      </c>
      <c r="I14" s="104" t="s">
        <v>145</v>
      </c>
      <c r="J14" s="102" t="s">
        <v>146</v>
      </c>
      <c r="K14" s="103">
        <v>7</v>
      </c>
      <c r="L14" s="104" t="s">
        <v>110</v>
      </c>
      <c r="M14" s="104" t="s">
        <v>147</v>
      </c>
      <c r="N14" s="104" t="s">
        <v>149</v>
      </c>
      <c r="O14" s="109"/>
      <c r="P14" s="109"/>
      <c r="Q14" s="114" t="s">
        <v>458</v>
      </c>
    </row>
    <row r="15" spans="1:17" ht="15" customHeight="1">
      <c r="A15" s="97">
        <v>14</v>
      </c>
      <c r="B15" s="101" t="s">
        <v>124</v>
      </c>
      <c r="C15" s="101">
        <v>46118</v>
      </c>
      <c r="D15" s="101">
        <v>46153</v>
      </c>
      <c r="E15" s="106" t="s">
        <v>151</v>
      </c>
      <c r="F15" s="98" t="s">
        <v>152</v>
      </c>
      <c r="G15" s="99" t="s">
        <v>144</v>
      </c>
      <c r="H15" s="100" t="s">
        <v>129</v>
      </c>
      <c r="I15" s="104" t="s">
        <v>153</v>
      </c>
      <c r="J15" s="102" t="s">
        <v>146</v>
      </c>
      <c r="K15" s="103">
        <v>7</v>
      </c>
      <c r="L15" s="104" t="s">
        <v>110</v>
      </c>
      <c r="M15" s="104" t="s">
        <v>147</v>
      </c>
      <c r="N15" s="104" t="s">
        <v>149</v>
      </c>
      <c r="O15" s="109"/>
      <c r="P15" s="109"/>
      <c r="Q15" s="114" t="s">
        <v>458</v>
      </c>
    </row>
    <row r="16" spans="1:17" ht="15" customHeight="1">
      <c r="A16" s="97">
        <v>15</v>
      </c>
      <c r="B16" s="101" t="s">
        <v>182</v>
      </c>
      <c r="C16" s="101">
        <v>46148</v>
      </c>
      <c r="D16" s="117">
        <v>46154</v>
      </c>
      <c r="E16" s="106" t="s">
        <v>154</v>
      </c>
      <c r="F16" s="98" t="s">
        <v>130</v>
      </c>
      <c r="G16" s="99" t="s">
        <v>101</v>
      </c>
      <c r="H16" s="100" t="s">
        <v>131</v>
      </c>
      <c r="I16" s="104" t="s">
        <v>132</v>
      </c>
      <c r="J16" s="102" t="s">
        <v>127</v>
      </c>
      <c r="K16" s="103">
        <v>30</v>
      </c>
      <c r="L16" s="104" t="s">
        <v>100</v>
      </c>
      <c r="M16" s="104" t="s">
        <v>139</v>
      </c>
      <c r="N16" s="104"/>
      <c r="O16" s="109"/>
      <c r="P16" s="109"/>
      <c r="Q16" s="114" t="s">
        <v>458</v>
      </c>
    </row>
    <row r="17" spans="1:17" ht="15" customHeight="1">
      <c r="A17" s="97">
        <v>16</v>
      </c>
      <c r="B17" s="101" t="s">
        <v>182</v>
      </c>
      <c r="C17" s="101">
        <v>46148</v>
      </c>
      <c r="D17" s="117">
        <v>46154</v>
      </c>
      <c r="E17" s="106" t="s">
        <v>155</v>
      </c>
      <c r="F17" s="98" t="s">
        <v>130</v>
      </c>
      <c r="G17" s="99" t="s">
        <v>101</v>
      </c>
      <c r="H17" s="100" t="s">
        <v>131</v>
      </c>
      <c r="I17" s="104" t="s">
        <v>132</v>
      </c>
      <c r="J17" s="102" t="s">
        <v>127</v>
      </c>
      <c r="K17" s="103">
        <v>30</v>
      </c>
      <c r="L17" s="104" t="s">
        <v>100</v>
      </c>
      <c r="M17" s="104" t="s">
        <v>139</v>
      </c>
      <c r="N17" s="104"/>
      <c r="O17" s="109"/>
      <c r="P17" s="109"/>
      <c r="Q17" s="114" t="s">
        <v>458</v>
      </c>
    </row>
    <row r="18" spans="1:17" ht="15" customHeight="1">
      <c r="A18" s="97">
        <v>17</v>
      </c>
      <c r="B18" s="101" t="s">
        <v>182</v>
      </c>
      <c r="C18" s="101">
        <v>46148</v>
      </c>
      <c r="D18" s="117">
        <v>46155</v>
      </c>
      <c r="E18" s="106" t="s">
        <v>156</v>
      </c>
      <c r="F18" s="98" t="s">
        <v>130</v>
      </c>
      <c r="G18" s="99" t="s">
        <v>101</v>
      </c>
      <c r="H18" s="100" t="s">
        <v>131</v>
      </c>
      <c r="I18" s="104" t="s">
        <v>132</v>
      </c>
      <c r="J18" s="102" t="s">
        <v>127</v>
      </c>
      <c r="K18" s="103">
        <v>30</v>
      </c>
      <c r="L18" s="104" t="s">
        <v>100</v>
      </c>
      <c r="M18" s="104" t="s">
        <v>139</v>
      </c>
      <c r="N18" s="104"/>
      <c r="O18" s="109"/>
      <c r="P18" s="109"/>
      <c r="Q18" s="114" t="s">
        <v>458</v>
      </c>
    </row>
    <row r="19" spans="1:17" ht="15" customHeight="1">
      <c r="A19" s="97">
        <v>18</v>
      </c>
      <c r="B19" s="101" t="s">
        <v>182</v>
      </c>
      <c r="C19" s="101">
        <v>46148</v>
      </c>
      <c r="D19" s="117">
        <v>46155</v>
      </c>
      <c r="E19" s="106" t="s">
        <v>157</v>
      </c>
      <c r="F19" s="98" t="s">
        <v>130</v>
      </c>
      <c r="G19" s="99" t="s">
        <v>101</v>
      </c>
      <c r="H19" s="100" t="s">
        <v>131</v>
      </c>
      <c r="I19" s="104" t="s">
        <v>132</v>
      </c>
      <c r="J19" s="102" t="s">
        <v>127</v>
      </c>
      <c r="K19" s="103">
        <v>30</v>
      </c>
      <c r="L19" s="104" t="s">
        <v>100</v>
      </c>
      <c r="M19" s="104" t="s">
        <v>139</v>
      </c>
      <c r="N19" s="104"/>
      <c r="O19" s="109"/>
      <c r="P19" s="109"/>
      <c r="Q19" s="114" t="s">
        <v>458</v>
      </c>
    </row>
    <row r="20" spans="1:17" ht="15" customHeight="1">
      <c r="A20" s="97">
        <v>19</v>
      </c>
      <c r="B20" s="101" t="s">
        <v>182</v>
      </c>
      <c r="C20" s="101">
        <v>46148</v>
      </c>
      <c r="D20" s="117">
        <v>46156</v>
      </c>
      <c r="E20" s="106" t="s">
        <v>158</v>
      </c>
      <c r="F20" s="98" t="s">
        <v>130</v>
      </c>
      <c r="G20" s="99" t="s">
        <v>101</v>
      </c>
      <c r="H20" s="100" t="s">
        <v>131</v>
      </c>
      <c r="I20" s="104" t="s">
        <v>132</v>
      </c>
      <c r="J20" s="102" t="s">
        <v>127</v>
      </c>
      <c r="K20" s="103">
        <v>30</v>
      </c>
      <c r="L20" s="104" t="s">
        <v>100</v>
      </c>
      <c r="M20" s="104" t="s">
        <v>139</v>
      </c>
      <c r="N20" s="104"/>
      <c r="O20" s="109"/>
      <c r="P20" s="109"/>
      <c r="Q20" s="114" t="s">
        <v>458</v>
      </c>
    </row>
    <row r="21" spans="1:17" ht="15" customHeight="1">
      <c r="A21" s="97">
        <v>20</v>
      </c>
      <c r="B21" s="101" t="s">
        <v>182</v>
      </c>
      <c r="C21" s="101">
        <v>46148</v>
      </c>
      <c r="D21" s="117">
        <v>46156</v>
      </c>
      <c r="E21" s="106" t="s">
        <v>159</v>
      </c>
      <c r="F21" s="98" t="s">
        <v>130</v>
      </c>
      <c r="G21" s="99" t="s">
        <v>101</v>
      </c>
      <c r="H21" s="100" t="s">
        <v>131</v>
      </c>
      <c r="I21" s="104" t="s">
        <v>132</v>
      </c>
      <c r="J21" s="102" t="s">
        <v>127</v>
      </c>
      <c r="K21" s="103">
        <v>30</v>
      </c>
      <c r="L21" s="104" t="s">
        <v>100</v>
      </c>
      <c r="M21" s="104" t="s">
        <v>139</v>
      </c>
      <c r="N21" s="104"/>
      <c r="O21" s="109"/>
      <c r="P21" s="109"/>
      <c r="Q21" s="114" t="s">
        <v>458</v>
      </c>
    </row>
    <row r="22" spans="1:17" ht="15" customHeight="1">
      <c r="A22" s="97">
        <v>21</v>
      </c>
      <c r="B22" s="101" t="s">
        <v>182</v>
      </c>
      <c r="C22" s="101">
        <v>46148</v>
      </c>
      <c r="D22" s="117">
        <v>46157</v>
      </c>
      <c r="E22" s="106" t="s">
        <v>160</v>
      </c>
      <c r="F22" s="98" t="s">
        <v>130</v>
      </c>
      <c r="G22" s="99" t="s">
        <v>101</v>
      </c>
      <c r="H22" s="100" t="s">
        <v>131</v>
      </c>
      <c r="I22" s="104" t="s">
        <v>132</v>
      </c>
      <c r="J22" s="102" t="s">
        <v>127</v>
      </c>
      <c r="K22" s="103">
        <v>30</v>
      </c>
      <c r="L22" s="104" t="s">
        <v>100</v>
      </c>
      <c r="M22" s="104" t="s">
        <v>139</v>
      </c>
      <c r="N22" s="104"/>
      <c r="O22" s="109"/>
      <c r="P22" s="109"/>
      <c r="Q22" s="114" t="s">
        <v>458</v>
      </c>
    </row>
    <row r="23" spans="1:17" ht="15" customHeight="1">
      <c r="A23" s="97">
        <v>22</v>
      </c>
      <c r="B23" s="101" t="s">
        <v>182</v>
      </c>
      <c r="C23" s="101">
        <v>46148</v>
      </c>
      <c r="D23" s="117">
        <v>46157</v>
      </c>
      <c r="E23" s="106">
        <v>11</v>
      </c>
      <c r="F23" s="98" t="s">
        <v>162</v>
      </c>
      <c r="G23" s="99" t="s">
        <v>144</v>
      </c>
      <c r="H23" s="100">
        <v>5</v>
      </c>
      <c r="I23" s="107" t="s">
        <v>172</v>
      </c>
      <c r="J23" s="102" t="s">
        <v>180</v>
      </c>
      <c r="K23" s="103">
        <v>30</v>
      </c>
      <c r="L23" s="104" t="s">
        <v>100</v>
      </c>
      <c r="M23" s="104" t="s">
        <v>139</v>
      </c>
      <c r="N23" s="104"/>
      <c r="O23" s="109"/>
      <c r="P23" s="109"/>
      <c r="Q23" s="114" t="s">
        <v>458</v>
      </c>
    </row>
    <row r="24" spans="1:17" ht="15" customHeight="1">
      <c r="A24" s="97">
        <v>23</v>
      </c>
      <c r="B24" s="101" t="s">
        <v>182</v>
      </c>
      <c r="C24" s="101">
        <v>46148</v>
      </c>
      <c r="D24" s="117">
        <v>46157</v>
      </c>
      <c r="E24" s="106">
        <v>3</v>
      </c>
      <c r="F24" s="98" t="s">
        <v>163</v>
      </c>
      <c r="G24" s="99" t="s">
        <v>144</v>
      </c>
      <c r="H24" s="100">
        <v>33</v>
      </c>
      <c r="I24" s="107" t="s">
        <v>173</v>
      </c>
      <c r="J24" s="102" t="s">
        <v>180</v>
      </c>
      <c r="K24" s="103">
        <v>30</v>
      </c>
      <c r="L24" s="104" t="s">
        <v>100</v>
      </c>
      <c r="M24" s="104" t="s">
        <v>139</v>
      </c>
      <c r="N24" s="104"/>
      <c r="O24" s="109"/>
      <c r="P24" s="109"/>
      <c r="Q24" s="114" t="s">
        <v>458</v>
      </c>
    </row>
    <row r="25" spans="1:17" ht="15" customHeight="1">
      <c r="A25" s="97">
        <v>24</v>
      </c>
      <c r="B25" s="101" t="s">
        <v>182</v>
      </c>
      <c r="C25" s="101">
        <v>46148</v>
      </c>
      <c r="D25" s="117">
        <v>46157</v>
      </c>
      <c r="E25" s="106">
        <v>9</v>
      </c>
      <c r="F25" s="98" t="s">
        <v>164</v>
      </c>
      <c r="G25" s="99" t="s">
        <v>144</v>
      </c>
      <c r="H25" s="105">
        <v>12</v>
      </c>
      <c r="I25" s="107" t="s">
        <v>174</v>
      </c>
      <c r="J25" s="102" t="s">
        <v>180</v>
      </c>
      <c r="K25" s="103">
        <v>30</v>
      </c>
      <c r="L25" s="104" t="s">
        <v>100</v>
      </c>
      <c r="M25" s="104" t="s">
        <v>139</v>
      </c>
      <c r="N25" s="104"/>
      <c r="O25" s="109"/>
      <c r="P25" s="109"/>
      <c r="Q25" s="114" t="s">
        <v>458</v>
      </c>
    </row>
    <row r="26" spans="1:17" ht="15" customHeight="1">
      <c r="A26" s="97">
        <v>25</v>
      </c>
      <c r="B26" s="101" t="s">
        <v>182</v>
      </c>
      <c r="C26" s="101">
        <v>46148</v>
      </c>
      <c r="D26" s="117">
        <v>46157</v>
      </c>
      <c r="E26" s="106">
        <v>1</v>
      </c>
      <c r="F26" s="98" t="s">
        <v>165</v>
      </c>
      <c r="G26" s="99" t="s">
        <v>144</v>
      </c>
      <c r="H26" s="100">
        <v>1</v>
      </c>
      <c r="I26" s="107" t="s">
        <v>175</v>
      </c>
      <c r="J26" s="102" t="s">
        <v>180</v>
      </c>
      <c r="K26" s="103">
        <v>30</v>
      </c>
      <c r="L26" s="104" t="s">
        <v>100</v>
      </c>
      <c r="M26" s="104" t="s">
        <v>139</v>
      </c>
      <c r="N26" s="104"/>
      <c r="O26" s="109"/>
      <c r="P26" s="109"/>
      <c r="Q26" s="114" t="s">
        <v>458</v>
      </c>
    </row>
    <row r="27" spans="1:17" ht="15" customHeight="1">
      <c r="A27" s="97">
        <v>26</v>
      </c>
      <c r="B27" s="101" t="s">
        <v>182</v>
      </c>
      <c r="C27" s="101">
        <v>46148</v>
      </c>
      <c r="D27" s="117">
        <v>46157</v>
      </c>
      <c r="E27" s="106">
        <v>5</v>
      </c>
      <c r="F27" s="98" t="s">
        <v>166</v>
      </c>
      <c r="G27" s="99" t="s">
        <v>144</v>
      </c>
      <c r="H27" s="100">
        <v>5</v>
      </c>
      <c r="I27" s="107" t="s">
        <v>176</v>
      </c>
      <c r="J27" s="102" t="s">
        <v>180</v>
      </c>
      <c r="K27" s="103">
        <v>30</v>
      </c>
      <c r="L27" s="104" t="s">
        <v>100</v>
      </c>
      <c r="M27" s="104" t="s">
        <v>139</v>
      </c>
      <c r="N27" s="104"/>
      <c r="O27" s="109"/>
      <c r="P27" s="109"/>
      <c r="Q27" s="114" t="s">
        <v>458</v>
      </c>
    </row>
    <row r="28" spans="1:17" ht="15" customHeight="1">
      <c r="A28" s="97">
        <v>27</v>
      </c>
      <c r="B28" s="101" t="s">
        <v>182</v>
      </c>
      <c r="C28" s="101">
        <v>46148</v>
      </c>
      <c r="D28" s="117">
        <v>46157</v>
      </c>
      <c r="E28" s="106">
        <v>7</v>
      </c>
      <c r="F28" s="98" t="s">
        <v>167</v>
      </c>
      <c r="G28" s="99" t="s">
        <v>144</v>
      </c>
      <c r="H28" s="105">
        <v>5</v>
      </c>
      <c r="I28" s="107" t="s">
        <v>177</v>
      </c>
      <c r="J28" s="102" t="s">
        <v>180</v>
      </c>
      <c r="K28" s="103">
        <v>30</v>
      </c>
      <c r="L28" s="104" t="s">
        <v>100</v>
      </c>
      <c r="M28" s="104" t="s">
        <v>139</v>
      </c>
      <c r="N28" s="104"/>
      <c r="O28" s="109"/>
      <c r="P28" s="109"/>
      <c r="Q28" s="114" t="s">
        <v>458</v>
      </c>
    </row>
    <row r="29" spans="1:17" ht="15" customHeight="1">
      <c r="A29" s="97">
        <v>28</v>
      </c>
      <c r="B29" s="101" t="s">
        <v>182</v>
      </c>
      <c r="C29" s="101">
        <v>46148</v>
      </c>
      <c r="D29" s="117">
        <v>46157</v>
      </c>
      <c r="E29" s="106">
        <v>8</v>
      </c>
      <c r="F29" s="98" t="s">
        <v>168</v>
      </c>
      <c r="G29" s="99" t="s">
        <v>144</v>
      </c>
      <c r="H29" s="105">
        <v>2</v>
      </c>
      <c r="I29" s="107" t="s">
        <v>178</v>
      </c>
      <c r="J29" s="102" t="s">
        <v>180</v>
      </c>
      <c r="K29" s="103">
        <v>30</v>
      </c>
      <c r="L29" s="104" t="s">
        <v>100</v>
      </c>
      <c r="M29" s="104" t="s">
        <v>139</v>
      </c>
      <c r="N29" s="104"/>
      <c r="O29" s="109"/>
      <c r="P29" s="109"/>
      <c r="Q29" s="114" t="s">
        <v>458</v>
      </c>
    </row>
    <row r="30" spans="1:17" ht="15" customHeight="1">
      <c r="A30" s="97">
        <v>29</v>
      </c>
      <c r="B30" s="101" t="s">
        <v>182</v>
      </c>
      <c r="C30" s="101">
        <v>46148</v>
      </c>
      <c r="D30" s="117">
        <v>46157</v>
      </c>
      <c r="E30" s="106">
        <v>13</v>
      </c>
      <c r="F30" s="98" t="s">
        <v>169</v>
      </c>
      <c r="G30" s="99" t="s">
        <v>144</v>
      </c>
      <c r="H30" s="105" t="s">
        <v>171</v>
      </c>
      <c r="I30" s="107" t="s">
        <v>179</v>
      </c>
      <c r="J30" s="102" t="s">
        <v>180</v>
      </c>
      <c r="K30" s="103">
        <v>30</v>
      </c>
      <c r="L30" s="104" t="s">
        <v>100</v>
      </c>
      <c r="M30" s="104" t="s">
        <v>139</v>
      </c>
      <c r="N30" s="104"/>
      <c r="O30" s="109"/>
      <c r="P30" s="109"/>
      <c r="Q30" s="114" t="s">
        <v>458</v>
      </c>
    </row>
    <row r="31" spans="1:17" ht="15" customHeight="1">
      <c r="A31" s="97">
        <v>30</v>
      </c>
      <c r="B31" s="101" t="s">
        <v>182</v>
      </c>
      <c r="C31" s="101">
        <v>46148</v>
      </c>
      <c r="D31" s="117">
        <v>46157</v>
      </c>
      <c r="E31" s="106">
        <v>4</v>
      </c>
      <c r="F31" s="98" t="s">
        <v>126</v>
      </c>
      <c r="G31" s="99" t="s">
        <v>144</v>
      </c>
      <c r="H31" s="105">
        <v>33</v>
      </c>
      <c r="I31" s="107" t="s">
        <v>173</v>
      </c>
      <c r="J31" s="102" t="s">
        <v>180</v>
      </c>
      <c r="K31" s="103">
        <v>30</v>
      </c>
      <c r="L31" s="104" t="s">
        <v>100</v>
      </c>
      <c r="M31" s="104" t="s">
        <v>139</v>
      </c>
      <c r="N31" s="104"/>
      <c r="O31" s="109"/>
      <c r="P31" s="109"/>
      <c r="Q31" s="114" t="s">
        <v>458</v>
      </c>
    </row>
    <row r="32" spans="1:17" ht="15" customHeight="1">
      <c r="A32" s="97">
        <v>31</v>
      </c>
      <c r="B32" s="101" t="s">
        <v>182</v>
      </c>
      <c r="C32" s="101">
        <v>46148</v>
      </c>
      <c r="D32" s="117">
        <v>46157</v>
      </c>
      <c r="E32" s="106" t="s">
        <v>161</v>
      </c>
      <c r="F32" s="98" t="s">
        <v>130</v>
      </c>
      <c r="G32" s="99" t="s">
        <v>101</v>
      </c>
      <c r="H32" s="100" t="s">
        <v>131</v>
      </c>
      <c r="I32" s="107" t="s">
        <v>132</v>
      </c>
      <c r="J32" s="102" t="s">
        <v>127</v>
      </c>
      <c r="K32" s="103">
        <v>30</v>
      </c>
      <c r="L32" s="104" t="s">
        <v>100</v>
      </c>
      <c r="M32" s="104" t="s">
        <v>139</v>
      </c>
      <c r="N32" s="104"/>
      <c r="O32" s="109"/>
      <c r="P32" s="109"/>
      <c r="Q32" s="114" t="s">
        <v>458</v>
      </c>
    </row>
    <row r="33" spans="1:17" ht="15" customHeight="1">
      <c r="A33" s="97">
        <v>32</v>
      </c>
      <c r="B33" s="101" t="s">
        <v>182</v>
      </c>
      <c r="C33" s="101">
        <v>46148</v>
      </c>
      <c r="D33" s="117">
        <v>46157</v>
      </c>
      <c r="E33" s="106">
        <v>2</v>
      </c>
      <c r="F33" s="98" t="s">
        <v>165</v>
      </c>
      <c r="G33" s="99" t="s">
        <v>144</v>
      </c>
      <c r="H33" s="100">
        <v>1</v>
      </c>
      <c r="I33" s="107" t="s">
        <v>175</v>
      </c>
      <c r="J33" s="102" t="s">
        <v>180</v>
      </c>
      <c r="K33" s="103">
        <v>30</v>
      </c>
      <c r="L33" s="104" t="s">
        <v>100</v>
      </c>
      <c r="M33" s="104" t="s">
        <v>139</v>
      </c>
      <c r="N33" s="104"/>
      <c r="O33" s="109"/>
      <c r="P33" s="109"/>
      <c r="Q33" s="114" t="s">
        <v>458</v>
      </c>
    </row>
    <row r="34" spans="1:17" ht="15" customHeight="1">
      <c r="A34" s="97">
        <v>33</v>
      </c>
      <c r="B34" s="101" t="s">
        <v>182</v>
      </c>
      <c r="C34" s="101">
        <v>46148</v>
      </c>
      <c r="D34" s="117">
        <v>46157</v>
      </c>
      <c r="E34" s="106">
        <v>12</v>
      </c>
      <c r="F34" s="98" t="s">
        <v>170</v>
      </c>
      <c r="G34" s="99" t="s">
        <v>144</v>
      </c>
      <c r="H34" s="100">
        <v>5</v>
      </c>
      <c r="I34" s="107" t="s">
        <v>172</v>
      </c>
      <c r="J34" s="102" t="s">
        <v>180</v>
      </c>
      <c r="K34" s="103">
        <v>30</v>
      </c>
      <c r="L34" s="104" t="s">
        <v>100</v>
      </c>
      <c r="M34" s="104" t="s">
        <v>139</v>
      </c>
      <c r="N34" s="104"/>
      <c r="O34" s="109"/>
      <c r="P34" s="109"/>
      <c r="Q34" s="114" t="s">
        <v>458</v>
      </c>
    </row>
    <row r="35" spans="1:17" ht="15" customHeight="1">
      <c r="A35" s="97">
        <v>34</v>
      </c>
      <c r="B35" s="101" t="s">
        <v>182</v>
      </c>
      <c r="C35" s="101">
        <v>46148</v>
      </c>
      <c r="D35" s="117">
        <v>46157</v>
      </c>
      <c r="E35" s="106">
        <v>10</v>
      </c>
      <c r="F35" s="98" t="s">
        <v>164</v>
      </c>
      <c r="G35" s="99" t="s">
        <v>144</v>
      </c>
      <c r="H35" s="100">
        <v>12</v>
      </c>
      <c r="I35" s="107" t="s">
        <v>174</v>
      </c>
      <c r="J35" s="102" t="s">
        <v>180</v>
      </c>
      <c r="K35" s="103">
        <v>30</v>
      </c>
      <c r="L35" s="104" t="s">
        <v>100</v>
      </c>
      <c r="M35" s="104" t="s">
        <v>139</v>
      </c>
      <c r="N35" s="104"/>
      <c r="O35" s="109"/>
      <c r="P35" s="109"/>
      <c r="Q35" s="114" t="s">
        <v>458</v>
      </c>
    </row>
    <row r="36" spans="1:17" ht="15" customHeight="1">
      <c r="A36" s="97">
        <v>35</v>
      </c>
      <c r="B36" s="101" t="s">
        <v>182</v>
      </c>
      <c r="C36" s="101">
        <v>46148</v>
      </c>
      <c r="D36" s="117">
        <v>46158</v>
      </c>
      <c r="E36" s="106" t="s">
        <v>181</v>
      </c>
      <c r="F36" s="98" t="s">
        <v>130</v>
      </c>
      <c r="G36" s="99" t="s">
        <v>101</v>
      </c>
      <c r="H36" s="100" t="s">
        <v>131</v>
      </c>
      <c r="I36" s="107" t="s">
        <v>132</v>
      </c>
      <c r="J36" s="102" t="s">
        <v>127</v>
      </c>
      <c r="K36" s="103">
        <v>30</v>
      </c>
      <c r="L36" s="104" t="s">
        <v>100</v>
      </c>
      <c r="M36" s="104" t="s">
        <v>139</v>
      </c>
      <c r="N36" s="104"/>
      <c r="O36" s="109"/>
      <c r="P36" s="109"/>
      <c r="Q36" s="114" t="s">
        <v>458</v>
      </c>
    </row>
    <row r="37" spans="1:17" ht="15" customHeight="1">
      <c r="A37" s="97">
        <v>36</v>
      </c>
      <c r="B37" s="101" t="s">
        <v>182</v>
      </c>
      <c r="C37" s="101">
        <v>46148</v>
      </c>
      <c r="D37" s="117">
        <v>46158</v>
      </c>
      <c r="E37" s="106">
        <v>6</v>
      </c>
      <c r="F37" s="98" t="s">
        <v>166</v>
      </c>
      <c r="G37" s="99" t="s">
        <v>144</v>
      </c>
      <c r="H37" s="105">
        <v>5</v>
      </c>
      <c r="I37" s="104" t="s">
        <v>176</v>
      </c>
      <c r="J37" s="102" t="s">
        <v>180</v>
      </c>
      <c r="K37" s="103">
        <v>30</v>
      </c>
      <c r="L37" s="104" t="s">
        <v>100</v>
      </c>
      <c r="M37" s="104" t="s">
        <v>139</v>
      </c>
      <c r="N37" s="104"/>
      <c r="O37" s="109"/>
      <c r="P37" s="109"/>
      <c r="Q37" s="114" t="s">
        <v>458</v>
      </c>
    </row>
    <row r="38" spans="1:17" ht="15" customHeight="1">
      <c r="A38" s="97">
        <v>37</v>
      </c>
      <c r="B38" s="101" t="s">
        <v>182</v>
      </c>
      <c r="C38" s="101">
        <v>46148</v>
      </c>
      <c r="D38" s="117">
        <v>46160</v>
      </c>
      <c r="E38" s="106" t="s">
        <v>183</v>
      </c>
      <c r="F38" s="98" t="s">
        <v>130</v>
      </c>
      <c r="G38" s="99" t="s">
        <v>101</v>
      </c>
      <c r="H38" s="100" t="s">
        <v>131</v>
      </c>
      <c r="I38" s="107" t="s">
        <v>132</v>
      </c>
      <c r="J38" s="102" t="s">
        <v>127</v>
      </c>
      <c r="K38" s="103">
        <v>30</v>
      </c>
      <c r="L38" s="104" t="s">
        <v>100</v>
      </c>
      <c r="M38" s="104" t="s">
        <v>139</v>
      </c>
      <c r="N38" s="104"/>
      <c r="O38" s="109"/>
      <c r="P38" s="109"/>
      <c r="Q38" s="114" t="s">
        <v>458</v>
      </c>
    </row>
    <row r="39" spans="1:17" ht="15" customHeight="1">
      <c r="A39" s="97">
        <v>38</v>
      </c>
      <c r="B39" s="101" t="s">
        <v>182</v>
      </c>
      <c r="C39" s="101">
        <v>46148</v>
      </c>
      <c r="D39" s="117">
        <v>46161</v>
      </c>
      <c r="E39" s="106" t="s">
        <v>219</v>
      </c>
      <c r="F39" s="98" t="s">
        <v>130</v>
      </c>
      <c r="G39" s="99" t="s">
        <v>101</v>
      </c>
      <c r="H39" s="100" t="s">
        <v>131</v>
      </c>
      <c r="I39" s="107" t="s">
        <v>132</v>
      </c>
      <c r="J39" s="102" t="s">
        <v>127</v>
      </c>
      <c r="K39" s="103">
        <v>30</v>
      </c>
      <c r="L39" s="104" t="s">
        <v>100</v>
      </c>
      <c r="M39" s="104" t="s">
        <v>139</v>
      </c>
      <c r="N39" s="104"/>
      <c r="O39" s="109"/>
      <c r="P39" s="109"/>
      <c r="Q39" s="114" t="s">
        <v>458</v>
      </c>
    </row>
    <row r="40" spans="1:17" ht="15" customHeight="1">
      <c r="A40" s="97">
        <v>39</v>
      </c>
      <c r="B40" s="101" t="s">
        <v>182</v>
      </c>
      <c r="C40" s="101">
        <v>46148</v>
      </c>
      <c r="D40" s="117">
        <v>46161</v>
      </c>
      <c r="E40" s="106" t="s">
        <v>220</v>
      </c>
      <c r="F40" s="98" t="s">
        <v>130</v>
      </c>
      <c r="G40" s="99" t="s">
        <v>101</v>
      </c>
      <c r="H40" s="100" t="s">
        <v>131</v>
      </c>
      <c r="I40" s="107" t="s">
        <v>132</v>
      </c>
      <c r="J40" s="102" t="s">
        <v>127</v>
      </c>
      <c r="K40" s="103">
        <v>30</v>
      </c>
      <c r="L40" s="104" t="s">
        <v>100</v>
      </c>
      <c r="M40" s="104" t="s">
        <v>139</v>
      </c>
      <c r="N40" s="104"/>
      <c r="O40" s="109"/>
      <c r="P40" s="109"/>
      <c r="Q40" s="114" t="s">
        <v>458</v>
      </c>
    </row>
    <row r="41" spans="1:17" ht="15" customHeight="1">
      <c r="A41" s="97">
        <v>40</v>
      </c>
      <c r="B41" s="101" t="s">
        <v>184</v>
      </c>
      <c r="C41" s="101">
        <v>46148</v>
      </c>
      <c r="D41" s="117">
        <v>46163</v>
      </c>
      <c r="E41" s="106">
        <v>104</v>
      </c>
      <c r="F41" s="98" t="s">
        <v>165</v>
      </c>
      <c r="G41" s="99" t="s">
        <v>144</v>
      </c>
      <c r="H41" s="100">
        <v>1</v>
      </c>
      <c r="I41" s="107" t="s">
        <v>186</v>
      </c>
      <c r="J41" s="102" t="s">
        <v>111</v>
      </c>
      <c r="K41" s="103">
        <v>30</v>
      </c>
      <c r="L41" s="104" t="s">
        <v>110</v>
      </c>
      <c r="M41" s="104" t="s">
        <v>139</v>
      </c>
      <c r="N41" s="104"/>
      <c r="O41" s="109"/>
      <c r="P41" s="109"/>
      <c r="Q41" s="105" t="s">
        <v>458</v>
      </c>
    </row>
    <row r="42" spans="1:17" ht="15" customHeight="1">
      <c r="A42" s="97">
        <v>41</v>
      </c>
      <c r="B42" s="101" t="s">
        <v>184</v>
      </c>
      <c r="C42" s="101">
        <v>46148</v>
      </c>
      <c r="D42" s="117">
        <v>46163</v>
      </c>
      <c r="E42" s="106">
        <v>107</v>
      </c>
      <c r="F42" s="98" t="s">
        <v>169</v>
      </c>
      <c r="G42" s="99" t="s">
        <v>144</v>
      </c>
      <c r="H42" s="105" t="s">
        <v>171</v>
      </c>
      <c r="I42" s="104" t="s">
        <v>187</v>
      </c>
      <c r="J42" s="102" t="s">
        <v>111</v>
      </c>
      <c r="K42" s="103">
        <v>30</v>
      </c>
      <c r="L42" s="104" t="s">
        <v>110</v>
      </c>
      <c r="M42" s="104" t="s">
        <v>139</v>
      </c>
      <c r="N42" s="104"/>
      <c r="O42" s="109"/>
      <c r="P42" s="109"/>
      <c r="Q42" s="105" t="s">
        <v>458</v>
      </c>
    </row>
    <row r="43" spans="1:17" ht="15" customHeight="1">
      <c r="A43" s="97">
        <v>42</v>
      </c>
      <c r="B43" s="101" t="s">
        <v>184</v>
      </c>
      <c r="C43" s="101">
        <v>46148</v>
      </c>
      <c r="D43" s="117">
        <v>46163</v>
      </c>
      <c r="E43" s="106">
        <v>119</v>
      </c>
      <c r="F43" s="98" t="s">
        <v>185</v>
      </c>
      <c r="G43" s="99" t="s">
        <v>144</v>
      </c>
      <c r="H43" s="105">
        <v>3</v>
      </c>
      <c r="I43" s="104" t="s">
        <v>188</v>
      </c>
      <c r="J43" s="102" t="s">
        <v>111</v>
      </c>
      <c r="K43" s="103">
        <v>30</v>
      </c>
      <c r="L43" s="104" t="s">
        <v>110</v>
      </c>
      <c r="M43" s="104" t="s">
        <v>139</v>
      </c>
      <c r="N43" s="104"/>
      <c r="O43" s="109"/>
      <c r="P43" s="109"/>
      <c r="Q43" s="105" t="s">
        <v>458</v>
      </c>
    </row>
    <row r="44" spans="1:17" ht="15" customHeight="1">
      <c r="A44" s="97">
        <v>43</v>
      </c>
      <c r="B44" s="101" t="s">
        <v>184</v>
      </c>
      <c r="C44" s="101">
        <v>46148</v>
      </c>
      <c r="D44" s="117">
        <v>46164</v>
      </c>
      <c r="E44" s="106">
        <v>101</v>
      </c>
      <c r="F44" s="98" t="s">
        <v>189</v>
      </c>
      <c r="G44" s="99" t="s">
        <v>144</v>
      </c>
      <c r="H44" s="105">
        <v>3</v>
      </c>
      <c r="I44" s="104" t="s">
        <v>194</v>
      </c>
      <c r="J44" s="102" t="s">
        <v>111</v>
      </c>
      <c r="K44" s="103">
        <v>30</v>
      </c>
      <c r="L44" s="104" t="s">
        <v>110</v>
      </c>
      <c r="M44" s="104" t="s">
        <v>139</v>
      </c>
      <c r="N44" s="104"/>
      <c r="O44" s="109"/>
      <c r="P44" s="109"/>
      <c r="Q44" s="105" t="s">
        <v>458</v>
      </c>
    </row>
    <row r="45" spans="1:17" ht="15" customHeight="1">
      <c r="A45" s="97">
        <v>44</v>
      </c>
      <c r="B45" s="101" t="s">
        <v>184</v>
      </c>
      <c r="C45" s="101">
        <v>46148</v>
      </c>
      <c r="D45" s="117">
        <v>46164</v>
      </c>
      <c r="E45" s="106">
        <v>105</v>
      </c>
      <c r="F45" s="98" t="s">
        <v>190</v>
      </c>
      <c r="G45" s="99" t="s">
        <v>144</v>
      </c>
      <c r="H45" s="105">
        <v>3</v>
      </c>
      <c r="I45" s="104" t="s">
        <v>186</v>
      </c>
      <c r="J45" s="102" t="s">
        <v>111</v>
      </c>
      <c r="K45" s="103">
        <v>30</v>
      </c>
      <c r="L45" s="104" t="s">
        <v>110</v>
      </c>
      <c r="M45" s="104" t="s">
        <v>139</v>
      </c>
      <c r="N45" s="104"/>
      <c r="O45" s="109"/>
      <c r="P45" s="109"/>
      <c r="Q45" s="105" t="s">
        <v>458</v>
      </c>
    </row>
    <row r="46" spans="1:17" ht="15" customHeight="1">
      <c r="A46" s="97">
        <v>45</v>
      </c>
      <c r="B46" s="101" t="s">
        <v>184</v>
      </c>
      <c r="C46" s="101">
        <v>46148</v>
      </c>
      <c r="D46" s="117">
        <v>46164</v>
      </c>
      <c r="E46" s="106">
        <v>114</v>
      </c>
      <c r="F46" s="98" t="s">
        <v>191</v>
      </c>
      <c r="G46" s="99" t="s">
        <v>144</v>
      </c>
      <c r="H46" s="105">
        <v>3</v>
      </c>
      <c r="I46" s="104" t="s">
        <v>195</v>
      </c>
      <c r="J46" s="102" t="s">
        <v>111</v>
      </c>
      <c r="K46" s="103">
        <v>30</v>
      </c>
      <c r="L46" s="104" t="s">
        <v>110</v>
      </c>
      <c r="M46" s="104" t="s">
        <v>139</v>
      </c>
      <c r="N46" s="104"/>
      <c r="O46" s="109"/>
      <c r="P46" s="109"/>
      <c r="Q46" s="105" t="s">
        <v>458</v>
      </c>
    </row>
    <row r="47" spans="1:17" ht="15" customHeight="1">
      <c r="A47" s="97">
        <v>46</v>
      </c>
      <c r="B47" s="101" t="s">
        <v>184</v>
      </c>
      <c r="C47" s="101">
        <v>46148</v>
      </c>
      <c r="D47" s="117">
        <v>46164</v>
      </c>
      <c r="E47" s="106">
        <v>113</v>
      </c>
      <c r="F47" s="98" t="s">
        <v>192</v>
      </c>
      <c r="G47" s="99" t="s">
        <v>144</v>
      </c>
      <c r="H47" s="105">
        <v>3</v>
      </c>
      <c r="I47" s="104" t="s">
        <v>178</v>
      </c>
      <c r="J47" s="102" t="s">
        <v>111</v>
      </c>
      <c r="K47" s="103">
        <v>30</v>
      </c>
      <c r="L47" s="104" t="s">
        <v>110</v>
      </c>
      <c r="M47" s="104" t="s">
        <v>139</v>
      </c>
      <c r="N47" s="104"/>
      <c r="O47" s="109"/>
      <c r="P47" s="109"/>
      <c r="Q47" s="105" t="s">
        <v>458</v>
      </c>
    </row>
    <row r="48" spans="1:17" ht="15" customHeight="1">
      <c r="A48" s="97">
        <v>47</v>
      </c>
      <c r="B48" s="101" t="s">
        <v>184</v>
      </c>
      <c r="C48" s="101">
        <v>46148</v>
      </c>
      <c r="D48" s="117">
        <v>46164</v>
      </c>
      <c r="E48" s="106">
        <v>110</v>
      </c>
      <c r="F48" s="98" t="s">
        <v>193</v>
      </c>
      <c r="G48" s="99" t="s">
        <v>144</v>
      </c>
      <c r="H48" s="105">
        <v>3</v>
      </c>
      <c r="I48" s="104" t="s">
        <v>174</v>
      </c>
      <c r="J48" s="102" t="s">
        <v>111</v>
      </c>
      <c r="K48" s="103">
        <v>30</v>
      </c>
      <c r="L48" s="104" t="s">
        <v>110</v>
      </c>
      <c r="M48" s="104" t="s">
        <v>139</v>
      </c>
      <c r="N48" s="104"/>
      <c r="O48" s="109"/>
      <c r="P48" s="109"/>
      <c r="Q48" s="105" t="s">
        <v>458</v>
      </c>
    </row>
    <row r="49" spans="1:17" ht="15" customHeight="1">
      <c r="A49" s="97">
        <v>48</v>
      </c>
      <c r="B49" s="101" t="s">
        <v>212</v>
      </c>
      <c r="C49" s="101">
        <v>46148</v>
      </c>
      <c r="D49" s="101">
        <v>46164</v>
      </c>
      <c r="E49" s="112" t="s">
        <v>356</v>
      </c>
      <c r="F49" s="98" t="s">
        <v>221</v>
      </c>
      <c r="G49" s="99" t="s">
        <v>144</v>
      </c>
      <c r="H49" s="105" t="s">
        <v>196</v>
      </c>
      <c r="I49" s="104" t="s">
        <v>203</v>
      </c>
      <c r="J49" s="102" t="s">
        <v>146</v>
      </c>
      <c r="K49" s="103">
        <v>7</v>
      </c>
      <c r="L49" s="104" t="s">
        <v>110</v>
      </c>
      <c r="M49" s="104" t="s">
        <v>147</v>
      </c>
      <c r="N49" s="104" t="s">
        <v>211</v>
      </c>
      <c r="O49" s="110">
        <v>40</v>
      </c>
      <c r="P49" s="110">
        <v>137</v>
      </c>
      <c r="Q49" s="114" t="s">
        <v>458</v>
      </c>
    </row>
    <row r="50" spans="1:17" ht="15" customHeight="1">
      <c r="A50" s="97">
        <v>49</v>
      </c>
      <c r="B50" s="101" t="s">
        <v>212</v>
      </c>
      <c r="C50" s="101">
        <v>46148</v>
      </c>
      <c r="D50" s="101">
        <v>46164</v>
      </c>
      <c r="E50" s="112" t="s">
        <v>355</v>
      </c>
      <c r="F50" s="98" t="s">
        <v>222</v>
      </c>
      <c r="G50" s="99" t="s">
        <v>144</v>
      </c>
      <c r="H50" s="100" t="s">
        <v>142</v>
      </c>
      <c r="I50" s="104" t="s">
        <v>145</v>
      </c>
      <c r="J50" s="102" t="s">
        <v>146</v>
      </c>
      <c r="K50" s="103">
        <v>7</v>
      </c>
      <c r="L50" s="104" t="s">
        <v>110</v>
      </c>
      <c r="M50" s="104" t="s">
        <v>147</v>
      </c>
      <c r="N50" s="104" t="s">
        <v>211</v>
      </c>
      <c r="O50" s="110">
        <v>40</v>
      </c>
      <c r="P50" s="110">
        <v>137</v>
      </c>
      <c r="Q50" s="114" t="s">
        <v>458</v>
      </c>
    </row>
    <row r="51" spans="1:17" ht="15" customHeight="1">
      <c r="A51" s="97">
        <v>50</v>
      </c>
      <c r="B51" s="101" t="s">
        <v>212</v>
      </c>
      <c r="C51" s="101">
        <v>46148</v>
      </c>
      <c r="D51" s="101">
        <v>46164</v>
      </c>
      <c r="E51" s="112" t="s">
        <v>354</v>
      </c>
      <c r="F51" s="98" t="s">
        <v>223</v>
      </c>
      <c r="G51" s="99" t="s">
        <v>144</v>
      </c>
      <c r="H51" s="100" t="s">
        <v>197</v>
      </c>
      <c r="I51" s="104" t="s">
        <v>204</v>
      </c>
      <c r="J51" s="102" t="s">
        <v>146</v>
      </c>
      <c r="K51" s="103">
        <v>7</v>
      </c>
      <c r="L51" s="104" t="s">
        <v>110</v>
      </c>
      <c r="M51" s="104" t="s">
        <v>147</v>
      </c>
      <c r="N51" s="104" t="s">
        <v>211</v>
      </c>
      <c r="O51" s="110">
        <v>40</v>
      </c>
      <c r="P51" s="110">
        <v>137</v>
      </c>
      <c r="Q51" s="114" t="s">
        <v>458</v>
      </c>
    </row>
    <row r="52" spans="1:17" ht="15" customHeight="1">
      <c r="A52" s="97">
        <v>51</v>
      </c>
      <c r="B52" s="101" t="s">
        <v>212</v>
      </c>
      <c r="C52" s="101">
        <v>46148</v>
      </c>
      <c r="D52" s="101">
        <v>46164</v>
      </c>
      <c r="E52" s="112" t="s">
        <v>353</v>
      </c>
      <c r="F52" s="98" t="s">
        <v>224</v>
      </c>
      <c r="G52" s="99" t="s">
        <v>144</v>
      </c>
      <c r="H52" s="100" t="s">
        <v>198</v>
      </c>
      <c r="I52" s="104" t="s">
        <v>205</v>
      </c>
      <c r="J52" s="102" t="s">
        <v>146</v>
      </c>
      <c r="K52" s="103">
        <v>7</v>
      </c>
      <c r="L52" s="104" t="s">
        <v>110</v>
      </c>
      <c r="M52" s="104" t="s">
        <v>147</v>
      </c>
      <c r="N52" s="104" t="s">
        <v>211</v>
      </c>
      <c r="O52" s="110">
        <v>40</v>
      </c>
      <c r="P52" s="110">
        <v>137</v>
      </c>
      <c r="Q52" s="114" t="s">
        <v>458</v>
      </c>
    </row>
    <row r="53" spans="1:17" ht="15" customHeight="1">
      <c r="A53" s="97">
        <v>52</v>
      </c>
      <c r="B53" s="101" t="s">
        <v>212</v>
      </c>
      <c r="C53" s="101">
        <v>46148</v>
      </c>
      <c r="D53" s="101">
        <v>46164</v>
      </c>
      <c r="E53" s="112" t="s">
        <v>357</v>
      </c>
      <c r="F53" s="98" t="s">
        <v>225</v>
      </c>
      <c r="G53" s="99" t="s">
        <v>144</v>
      </c>
      <c r="H53" s="100" t="s">
        <v>199</v>
      </c>
      <c r="I53" s="104" t="s">
        <v>206</v>
      </c>
      <c r="J53" s="102" t="s">
        <v>146</v>
      </c>
      <c r="K53" s="103">
        <v>14</v>
      </c>
      <c r="L53" s="104" t="s">
        <v>110</v>
      </c>
      <c r="M53" s="104" t="s">
        <v>147</v>
      </c>
      <c r="N53" s="104" t="s">
        <v>211</v>
      </c>
      <c r="O53" s="110">
        <v>40</v>
      </c>
      <c r="P53" s="110">
        <v>137</v>
      </c>
      <c r="Q53" s="114" t="s">
        <v>458</v>
      </c>
    </row>
    <row r="54" spans="1:17" ht="15" customHeight="1">
      <c r="A54" s="97">
        <v>53</v>
      </c>
      <c r="B54" s="101" t="s">
        <v>212</v>
      </c>
      <c r="C54" s="101">
        <v>46148</v>
      </c>
      <c r="D54" s="101">
        <v>46164</v>
      </c>
      <c r="E54" s="112" t="s">
        <v>358</v>
      </c>
      <c r="F54" s="98" t="s">
        <v>226</v>
      </c>
      <c r="G54" s="99" t="s">
        <v>144</v>
      </c>
      <c r="H54" s="100" t="s">
        <v>200</v>
      </c>
      <c r="I54" s="104" t="s">
        <v>207</v>
      </c>
      <c r="J54" s="102" t="s">
        <v>146</v>
      </c>
      <c r="K54" s="103">
        <v>14</v>
      </c>
      <c r="L54" s="104" t="s">
        <v>110</v>
      </c>
      <c r="M54" s="104" t="s">
        <v>147</v>
      </c>
      <c r="N54" s="104" t="s">
        <v>211</v>
      </c>
      <c r="O54" s="110">
        <v>40</v>
      </c>
      <c r="P54" s="110">
        <v>137</v>
      </c>
      <c r="Q54" s="114" t="s">
        <v>458</v>
      </c>
    </row>
    <row r="55" spans="1:17" ht="15" customHeight="1">
      <c r="A55" s="97">
        <v>54</v>
      </c>
      <c r="B55" s="101" t="s">
        <v>212</v>
      </c>
      <c r="C55" s="101">
        <v>46148</v>
      </c>
      <c r="D55" s="101">
        <v>46164</v>
      </c>
      <c r="E55" s="112" t="s">
        <v>359</v>
      </c>
      <c r="F55" s="98" t="s">
        <v>226</v>
      </c>
      <c r="G55" s="99" t="s">
        <v>144</v>
      </c>
      <c r="H55" s="100" t="s">
        <v>200</v>
      </c>
      <c r="I55" s="104" t="s">
        <v>208</v>
      </c>
      <c r="J55" s="102" t="s">
        <v>146</v>
      </c>
      <c r="K55" s="103">
        <v>14</v>
      </c>
      <c r="L55" s="104" t="s">
        <v>110</v>
      </c>
      <c r="M55" s="104" t="s">
        <v>147</v>
      </c>
      <c r="N55" s="104" t="s">
        <v>211</v>
      </c>
      <c r="O55" s="110">
        <v>40</v>
      </c>
      <c r="P55" s="110">
        <v>137</v>
      </c>
      <c r="Q55" s="114" t="s">
        <v>458</v>
      </c>
    </row>
    <row r="56" spans="1:17" ht="15" customHeight="1">
      <c r="A56" s="97">
        <v>55</v>
      </c>
      <c r="B56" s="101" t="s">
        <v>212</v>
      </c>
      <c r="C56" s="101">
        <v>46148</v>
      </c>
      <c r="D56" s="101">
        <v>46164</v>
      </c>
      <c r="E56" s="112" t="s">
        <v>360</v>
      </c>
      <c r="F56" s="98" t="s">
        <v>225</v>
      </c>
      <c r="G56" s="99" t="s">
        <v>144</v>
      </c>
      <c r="H56" s="100" t="s">
        <v>201</v>
      </c>
      <c r="I56" s="104" t="s">
        <v>209</v>
      </c>
      <c r="J56" s="102" t="s">
        <v>146</v>
      </c>
      <c r="K56" s="103">
        <v>14</v>
      </c>
      <c r="L56" s="104" t="s">
        <v>110</v>
      </c>
      <c r="M56" s="104" t="s">
        <v>147</v>
      </c>
      <c r="N56" s="104" t="s">
        <v>211</v>
      </c>
      <c r="O56" s="110">
        <v>40</v>
      </c>
      <c r="P56" s="110">
        <v>137</v>
      </c>
      <c r="Q56" s="114" t="s">
        <v>458</v>
      </c>
    </row>
    <row r="57" spans="1:17" ht="15" customHeight="1">
      <c r="A57" s="97">
        <v>56</v>
      </c>
      <c r="B57" s="101" t="s">
        <v>212</v>
      </c>
      <c r="C57" s="101">
        <v>46148</v>
      </c>
      <c r="D57" s="101">
        <v>46164</v>
      </c>
      <c r="E57" s="112" t="s">
        <v>352</v>
      </c>
      <c r="F57" s="98" t="s">
        <v>227</v>
      </c>
      <c r="G57" s="99" t="s">
        <v>144</v>
      </c>
      <c r="H57" s="100" t="s">
        <v>129</v>
      </c>
      <c r="I57" s="104" t="s">
        <v>153</v>
      </c>
      <c r="J57" s="102" t="s">
        <v>146</v>
      </c>
      <c r="K57" s="103">
        <v>7</v>
      </c>
      <c r="L57" s="104" t="s">
        <v>110</v>
      </c>
      <c r="M57" s="104" t="s">
        <v>147</v>
      </c>
      <c r="N57" s="104" t="s">
        <v>211</v>
      </c>
      <c r="O57" s="110">
        <v>40</v>
      </c>
      <c r="P57" s="110">
        <v>137</v>
      </c>
      <c r="Q57" s="114" t="s">
        <v>458</v>
      </c>
    </row>
    <row r="58" spans="1:17" ht="15" customHeight="1">
      <c r="A58" s="97">
        <v>57</v>
      </c>
      <c r="B58" s="101" t="s">
        <v>212</v>
      </c>
      <c r="C58" s="101">
        <v>46148</v>
      </c>
      <c r="D58" s="101">
        <v>46164</v>
      </c>
      <c r="E58" s="112" t="s">
        <v>351</v>
      </c>
      <c r="F58" s="98" t="s">
        <v>221</v>
      </c>
      <c r="G58" s="99" t="s">
        <v>144</v>
      </c>
      <c r="H58" s="100" t="s">
        <v>196</v>
      </c>
      <c r="I58" s="104" t="s">
        <v>203</v>
      </c>
      <c r="J58" s="102" t="s">
        <v>146</v>
      </c>
      <c r="K58" s="103">
        <v>7</v>
      </c>
      <c r="L58" s="104" t="s">
        <v>110</v>
      </c>
      <c r="M58" s="104" t="s">
        <v>147</v>
      </c>
      <c r="N58" s="104" t="s">
        <v>211</v>
      </c>
      <c r="O58" s="110">
        <v>40</v>
      </c>
      <c r="P58" s="110">
        <v>137</v>
      </c>
      <c r="Q58" s="114" t="s">
        <v>458</v>
      </c>
    </row>
    <row r="59" spans="1:17" ht="15" customHeight="1">
      <c r="A59" s="97">
        <v>58</v>
      </c>
      <c r="B59" s="101" t="s">
        <v>212</v>
      </c>
      <c r="C59" s="101">
        <v>46148</v>
      </c>
      <c r="D59" s="101">
        <v>46164</v>
      </c>
      <c r="E59" s="112" t="s">
        <v>350</v>
      </c>
      <c r="F59" s="98" t="s">
        <v>222</v>
      </c>
      <c r="G59" s="99" t="s">
        <v>144</v>
      </c>
      <c r="H59" s="100" t="s">
        <v>142</v>
      </c>
      <c r="I59" s="104" t="s">
        <v>145</v>
      </c>
      <c r="J59" s="102" t="s">
        <v>146</v>
      </c>
      <c r="K59" s="103">
        <v>7</v>
      </c>
      <c r="L59" s="104" t="s">
        <v>110</v>
      </c>
      <c r="M59" s="104" t="s">
        <v>147</v>
      </c>
      <c r="N59" s="104" t="s">
        <v>211</v>
      </c>
      <c r="O59" s="110">
        <v>40</v>
      </c>
      <c r="P59" s="110">
        <v>137</v>
      </c>
      <c r="Q59" s="114" t="s">
        <v>458</v>
      </c>
    </row>
    <row r="60" spans="1:17" ht="15" customHeight="1">
      <c r="A60" s="97">
        <v>59</v>
      </c>
      <c r="B60" s="101" t="s">
        <v>212</v>
      </c>
      <c r="C60" s="101">
        <v>46148</v>
      </c>
      <c r="D60" s="101">
        <v>46164</v>
      </c>
      <c r="E60" s="112" t="s">
        <v>349</v>
      </c>
      <c r="F60" s="98" t="s">
        <v>223</v>
      </c>
      <c r="G60" s="99" t="s">
        <v>144</v>
      </c>
      <c r="H60" s="100" t="s">
        <v>197</v>
      </c>
      <c r="I60" s="104" t="s">
        <v>204</v>
      </c>
      <c r="J60" s="102" t="s">
        <v>146</v>
      </c>
      <c r="K60" s="103">
        <v>7</v>
      </c>
      <c r="L60" s="104" t="s">
        <v>110</v>
      </c>
      <c r="M60" s="104" t="s">
        <v>147</v>
      </c>
      <c r="N60" s="104" t="s">
        <v>211</v>
      </c>
      <c r="O60" s="110">
        <v>40</v>
      </c>
      <c r="P60" s="110">
        <v>137</v>
      </c>
      <c r="Q60" s="114" t="s">
        <v>458</v>
      </c>
    </row>
    <row r="61" spans="1:17" ht="15" customHeight="1">
      <c r="A61" s="97">
        <v>60</v>
      </c>
      <c r="B61" s="101" t="s">
        <v>212</v>
      </c>
      <c r="C61" s="101">
        <v>46148</v>
      </c>
      <c r="D61" s="101">
        <v>46164</v>
      </c>
      <c r="E61" s="112" t="s">
        <v>361</v>
      </c>
      <c r="F61" s="98" t="s">
        <v>228</v>
      </c>
      <c r="G61" s="99" t="s">
        <v>144</v>
      </c>
      <c r="H61" s="100" t="s">
        <v>202</v>
      </c>
      <c r="I61" s="104" t="s">
        <v>210</v>
      </c>
      <c r="J61" s="102" t="s">
        <v>146</v>
      </c>
      <c r="K61" s="103">
        <v>14</v>
      </c>
      <c r="L61" s="104" t="s">
        <v>110</v>
      </c>
      <c r="M61" s="104" t="s">
        <v>147</v>
      </c>
      <c r="N61" s="104" t="s">
        <v>211</v>
      </c>
      <c r="O61" s="110">
        <v>40</v>
      </c>
      <c r="P61" s="110">
        <v>137</v>
      </c>
      <c r="Q61" s="114" t="s">
        <v>458</v>
      </c>
    </row>
    <row r="62" spans="1:17" ht="15" customHeight="1">
      <c r="A62" s="97">
        <v>61</v>
      </c>
      <c r="B62" s="101" t="s">
        <v>212</v>
      </c>
      <c r="C62" s="101">
        <v>46148</v>
      </c>
      <c r="D62" s="101">
        <v>46164</v>
      </c>
      <c r="E62" s="112" t="s">
        <v>348</v>
      </c>
      <c r="F62" s="98" t="s">
        <v>224</v>
      </c>
      <c r="G62" s="99" t="s">
        <v>144</v>
      </c>
      <c r="H62" s="100" t="s">
        <v>198</v>
      </c>
      <c r="I62" s="104" t="s">
        <v>205</v>
      </c>
      <c r="J62" s="102" t="s">
        <v>146</v>
      </c>
      <c r="K62" s="103">
        <v>7</v>
      </c>
      <c r="L62" s="104" t="s">
        <v>110</v>
      </c>
      <c r="M62" s="104" t="s">
        <v>147</v>
      </c>
      <c r="N62" s="104" t="s">
        <v>211</v>
      </c>
      <c r="O62" s="110">
        <v>40</v>
      </c>
      <c r="P62" s="110">
        <v>137</v>
      </c>
      <c r="Q62" s="114" t="s">
        <v>458</v>
      </c>
    </row>
    <row r="63" spans="1:17" ht="15" customHeight="1">
      <c r="A63" s="97">
        <v>62</v>
      </c>
      <c r="B63" s="101" t="s">
        <v>184</v>
      </c>
      <c r="C63" s="101">
        <v>46148</v>
      </c>
      <c r="D63" s="117">
        <v>46165</v>
      </c>
      <c r="E63" s="106">
        <v>106</v>
      </c>
      <c r="F63" s="98" t="s">
        <v>190</v>
      </c>
      <c r="G63" s="99" t="s">
        <v>144</v>
      </c>
      <c r="H63" s="100">
        <v>1</v>
      </c>
      <c r="I63" s="104" t="s">
        <v>186</v>
      </c>
      <c r="J63" s="102" t="s">
        <v>111</v>
      </c>
      <c r="K63" s="103">
        <v>30</v>
      </c>
      <c r="L63" s="104" t="s">
        <v>110</v>
      </c>
      <c r="M63" s="104" t="s">
        <v>139</v>
      </c>
      <c r="N63" s="104"/>
      <c r="O63" s="109"/>
      <c r="P63" s="109"/>
      <c r="Q63" s="105" t="s">
        <v>458</v>
      </c>
    </row>
    <row r="64" spans="1:17" ht="15" customHeight="1">
      <c r="A64" s="97">
        <v>63</v>
      </c>
      <c r="B64" s="101" t="s">
        <v>184</v>
      </c>
      <c r="C64" s="101">
        <v>46148</v>
      </c>
      <c r="D64" s="117">
        <v>46165</v>
      </c>
      <c r="E64" s="106">
        <v>120</v>
      </c>
      <c r="F64" s="98" t="s">
        <v>185</v>
      </c>
      <c r="G64" s="99" t="s">
        <v>144</v>
      </c>
      <c r="H64" s="100">
        <v>3</v>
      </c>
      <c r="I64" s="104" t="s">
        <v>188</v>
      </c>
      <c r="J64" s="102" t="s">
        <v>111</v>
      </c>
      <c r="K64" s="103">
        <v>30</v>
      </c>
      <c r="L64" s="104" t="s">
        <v>110</v>
      </c>
      <c r="M64" s="104" t="s">
        <v>139</v>
      </c>
      <c r="N64" s="104"/>
      <c r="O64" s="109"/>
      <c r="P64" s="109"/>
      <c r="Q64" s="105" t="s">
        <v>458</v>
      </c>
    </row>
    <row r="65" spans="1:17" ht="15" customHeight="1">
      <c r="A65" s="97">
        <v>64</v>
      </c>
      <c r="B65" s="101" t="s">
        <v>212</v>
      </c>
      <c r="C65" s="101">
        <v>46148</v>
      </c>
      <c r="D65" s="101">
        <v>46165</v>
      </c>
      <c r="E65" s="112" t="s">
        <v>399</v>
      </c>
      <c r="F65" s="98" t="s">
        <v>227</v>
      </c>
      <c r="G65" s="99" t="s">
        <v>144</v>
      </c>
      <c r="H65" s="100" t="s">
        <v>129</v>
      </c>
      <c r="I65" s="104" t="s">
        <v>213</v>
      </c>
      <c r="J65" s="102" t="s">
        <v>146</v>
      </c>
      <c r="K65" s="103">
        <v>7</v>
      </c>
      <c r="L65" s="104" t="s">
        <v>110</v>
      </c>
      <c r="M65" s="104" t="s">
        <v>147</v>
      </c>
      <c r="N65" s="104" t="s">
        <v>211</v>
      </c>
      <c r="O65" s="110">
        <v>40</v>
      </c>
      <c r="P65" s="110">
        <v>137</v>
      </c>
      <c r="Q65" s="114" t="s">
        <v>458</v>
      </c>
    </row>
    <row r="66" spans="1:17" ht="15" customHeight="1">
      <c r="A66" s="97">
        <v>65</v>
      </c>
      <c r="B66" s="101" t="s">
        <v>212</v>
      </c>
      <c r="C66" s="101">
        <v>46148</v>
      </c>
      <c r="D66" s="101">
        <v>46165</v>
      </c>
      <c r="E66" s="112" t="s">
        <v>391</v>
      </c>
      <c r="F66" s="98" t="s">
        <v>229</v>
      </c>
      <c r="G66" s="99" t="s">
        <v>144</v>
      </c>
      <c r="H66" s="100" t="s">
        <v>217</v>
      </c>
      <c r="I66" s="104" t="s">
        <v>214</v>
      </c>
      <c r="J66" s="102" t="s">
        <v>146</v>
      </c>
      <c r="K66" s="103">
        <v>14</v>
      </c>
      <c r="L66" s="104" t="s">
        <v>110</v>
      </c>
      <c r="M66" s="104" t="s">
        <v>147</v>
      </c>
      <c r="N66" s="104" t="s">
        <v>211</v>
      </c>
      <c r="O66" s="110">
        <v>40</v>
      </c>
      <c r="P66" s="110">
        <v>137</v>
      </c>
      <c r="Q66" s="114" t="s">
        <v>458</v>
      </c>
    </row>
    <row r="67" spans="1:17" ht="15" customHeight="1">
      <c r="A67" s="97">
        <v>66</v>
      </c>
      <c r="B67" s="101" t="s">
        <v>212</v>
      </c>
      <c r="C67" s="101">
        <v>46148</v>
      </c>
      <c r="D67" s="101">
        <v>46165</v>
      </c>
      <c r="E67" s="112" t="s">
        <v>392</v>
      </c>
      <c r="F67" s="98" t="s">
        <v>226</v>
      </c>
      <c r="G67" s="99" t="s">
        <v>144</v>
      </c>
      <c r="H67" s="100" t="s">
        <v>200</v>
      </c>
      <c r="I67" s="104" t="s">
        <v>208</v>
      </c>
      <c r="J67" s="102" t="s">
        <v>146</v>
      </c>
      <c r="K67" s="103">
        <v>14</v>
      </c>
      <c r="L67" s="104" t="s">
        <v>110</v>
      </c>
      <c r="M67" s="104" t="s">
        <v>147</v>
      </c>
      <c r="N67" s="104" t="s">
        <v>211</v>
      </c>
      <c r="O67" s="110">
        <v>40</v>
      </c>
      <c r="P67" s="110">
        <v>137</v>
      </c>
      <c r="Q67" s="114" t="s">
        <v>458</v>
      </c>
    </row>
    <row r="68" spans="1:17" ht="15" customHeight="1">
      <c r="A68" s="97">
        <v>67</v>
      </c>
      <c r="B68" s="101" t="s">
        <v>212</v>
      </c>
      <c r="C68" s="101">
        <v>46148</v>
      </c>
      <c r="D68" s="101">
        <v>46165</v>
      </c>
      <c r="E68" s="112" t="s">
        <v>393</v>
      </c>
      <c r="F68" s="98" t="s">
        <v>221</v>
      </c>
      <c r="G68" s="99" t="s">
        <v>144</v>
      </c>
      <c r="H68" s="105" t="s">
        <v>196</v>
      </c>
      <c r="I68" s="104" t="s">
        <v>203</v>
      </c>
      <c r="J68" s="102" t="s">
        <v>146</v>
      </c>
      <c r="K68" s="103">
        <v>7</v>
      </c>
      <c r="L68" s="104" t="s">
        <v>110</v>
      </c>
      <c r="M68" s="104" t="s">
        <v>147</v>
      </c>
      <c r="N68" s="104" t="s">
        <v>211</v>
      </c>
      <c r="O68" s="110">
        <v>40</v>
      </c>
      <c r="P68" s="110">
        <v>137</v>
      </c>
      <c r="Q68" s="114" t="s">
        <v>458</v>
      </c>
    </row>
    <row r="69" spans="1:17" ht="15" customHeight="1">
      <c r="A69" s="97">
        <v>68</v>
      </c>
      <c r="B69" s="101" t="s">
        <v>212</v>
      </c>
      <c r="C69" s="101">
        <v>46148</v>
      </c>
      <c r="D69" s="101">
        <v>46165</v>
      </c>
      <c r="E69" s="112" t="s">
        <v>394</v>
      </c>
      <c r="F69" s="98" t="s">
        <v>223</v>
      </c>
      <c r="G69" s="99" t="s">
        <v>144</v>
      </c>
      <c r="H69" s="100" t="s">
        <v>197</v>
      </c>
      <c r="I69" s="104" t="s">
        <v>204</v>
      </c>
      <c r="J69" s="102" t="s">
        <v>146</v>
      </c>
      <c r="K69" s="103">
        <v>7</v>
      </c>
      <c r="L69" s="104" t="s">
        <v>110</v>
      </c>
      <c r="M69" s="104" t="s">
        <v>147</v>
      </c>
      <c r="N69" s="104" t="s">
        <v>211</v>
      </c>
      <c r="O69" s="110">
        <v>40</v>
      </c>
      <c r="P69" s="110">
        <v>137</v>
      </c>
      <c r="Q69" s="114" t="s">
        <v>458</v>
      </c>
    </row>
    <row r="70" spans="1:17" ht="15" customHeight="1">
      <c r="A70" s="97">
        <v>69</v>
      </c>
      <c r="B70" s="101" t="s">
        <v>212</v>
      </c>
      <c r="C70" s="101">
        <v>46148</v>
      </c>
      <c r="D70" s="101">
        <v>46165</v>
      </c>
      <c r="E70" s="112" t="s">
        <v>395</v>
      </c>
      <c r="F70" s="98" t="s">
        <v>230</v>
      </c>
      <c r="G70" s="99" t="s">
        <v>144</v>
      </c>
      <c r="H70" s="100" t="s">
        <v>142</v>
      </c>
      <c r="I70" s="104" t="s">
        <v>215</v>
      </c>
      <c r="J70" s="102" t="s">
        <v>146</v>
      </c>
      <c r="K70" s="103">
        <v>7</v>
      </c>
      <c r="L70" s="104" t="s">
        <v>110</v>
      </c>
      <c r="M70" s="104" t="s">
        <v>147</v>
      </c>
      <c r="N70" s="104" t="s">
        <v>211</v>
      </c>
      <c r="O70" s="110">
        <v>40</v>
      </c>
      <c r="P70" s="110">
        <v>137</v>
      </c>
      <c r="Q70" s="114" t="s">
        <v>458</v>
      </c>
    </row>
    <row r="71" spans="1:17" ht="15" customHeight="1">
      <c r="A71" s="97">
        <v>70</v>
      </c>
      <c r="B71" s="101" t="s">
        <v>212</v>
      </c>
      <c r="C71" s="101">
        <v>46148</v>
      </c>
      <c r="D71" s="101">
        <v>46165</v>
      </c>
      <c r="E71" s="112" t="s">
        <v>396</v>
      </c>
      <c r="F71" s="98" t="s">
        <v>231</v>
      </c>
      <c r="G71" s="99" t="s">
        <v>144</v>
      </c>
      <c r="H71" s="100" t="s">
        <v>218</v>
      </c>
      <c r="I71" s="104" t="s">
        <v>216</v>
      </c>
      <c r="J71" s="102" t="s">
        <v>146</v>
      </c>
      <c r="K71" s="103">
        <v>7</v>
      </c>
      <c r="L71" s="104" t="s">
        <v>110</v>
      </c>
      <c r="M71" s="104" t="s">
        <v>147</v>
      </c>
      <c r="N71" s="104" t="s">
        <v>211</v>
      </c>
      <c r="O71" s="110">
        <v>40</v>
      </c>
      <c r="P71" s="110">
        <v>137</v>
      </c>
      <c r="Q71" s="114" t="s">
        <v>458</v>
      </c>
    </row>
    <row r="72" spans="1:17" ht="15" customHeight="1">
      <c r="A72" s="97">
        <v>71</v>
      </c>
      <c r="B72" s="101" t="s">
        <v>212</v>
      </c>
      <c r="C72" s="101">
        <v>46148</v>
      </c>
      <c r="D72" s="101">
        <v>46165</v>
      </c>
      <c r="E72" s="112" t="s">
        <v>397</v>
      </c>
      <c r="F72" s="98" t="s">
        <v>232</v>
      </c>
      <c r="G72" s="99" t="s">
        <v>144</v>
      </c>
      <c r="H72" s="100" t="s">
        <v>129</v>
      </c>
      <c r="I72" s="104" t="s">
        <v>213</v>
      </c>
      <c r="J72" s="102" t="s">
        <v>146</v>
      </c>
      <c r="K72" s="103">
        <v>7</v>
      </c>
      <c r="L72" s="104" t="s">
        <v>110</v>
      </c>
      <c r="M72" s="104" t="s">
        <v>147</v>
      </c>
      <c r="N72" s="104" t="s">
        <v>211</v>
      </c>
      <c r="O72" s="110">
        <v>40</v>
      </c>
      <c r="P72" s="110">
        <v>137</v>
      </c>
      <c r="Q72" s="114" t="s">
        <v>458</v>
      </c>
    </row>
    <row r="73" spans="1:17" ht="15" customHeight="1">
      <c r="A73" s="97">
        <v>72</v>
      </c>
      <c r="B73" s="101" t="s">
        <v>212</v>
      </c>
      <c r="C73" s="101">
        <v>46148</v>
      </c>
      <c r="D73" s="101">
        <v>46165</v>
      </c>
      <c r="E73" s="112" t="s">
        <v>398</v>
      </c>
      <c r="F73" s="98" t="s">
        <v>226</v>
      </c>
      <c r="G73" s="99" t="s">
        <v>144</v>
      </c>
      <c r="H73" s="100" t="s">
        <v>200</v>
      </c>
      <c r="I73" s="104" t="s">
        <v>209</v>
      </c>
      <c r="J73" s="102" t="s">
        <v>146</v>
      </c>
      <c r="K73" s="103">
        <v>14</v>
      </c>
      <c r="L73" s="104" t="s">
        <v>110</v>
      </c>
      <c r="M73" s="104" t="s">
        <v>147</v>
      </c>
      <c r="N73" s="104" t="s">
        <v>211</v>
      </c>
      <c r="O73" s="110">
        <v>40</v>
      </c>
      <c r="P73" s="110">
        <v>137</v>
      </c>
      <c r="Q73" s="114" t="s">
        <v>458</v>
      </c>
    </row>
    <row r="74" spans="1:17" ht="15" customHeight="1">
      <c r="A74" s="97">
        <v>73</v>
      </c>
      <c r="B74" s="101" t="s">
        <v>184</v>
      </c>
      <c r="C74" s="101">
        <v>46148</v>
      </c>
      <c r="D74" s="117">
        <v>46167</v>
      </c>
      <c r="E74" s="106" t="s">
        <v>233</v>
      </c>
      <c r="F74" s="98" t="s">
        <v>234</v>
      </c>
      <c r="G74" s="99" t="s">
        <v>144</v>
      </c>
      <c r="H74" s="100" t="s">
        <v>171</v>
      </c>
      <c r="I74" s="104" t="s">
        <v>235</v>
      </c>
      <c r="J74" s="102" t="s">
        <v>111</v>
      </c>
      <c r="K74" s="103">
        <v>30</v>
      </c>
      <c r="L74" s="104" t="s">
        <v>110</v>
      </c>
      <c r="M74" s="104" t="s">
        <v>139</v>
      </c>
      <c r="N74" s="104"/>
      <c r="O74" s="109"/>
      <c r="P74" s="109"/>
      <c r="Q74" s="105" t="s">
        <v>458</v>
      </c>
    </row>
    <row r="75" spans="1:17" ht="15" customHeight="1">
      <c r="A75" s="97">
        <v>74</v>
      </c>
      <c r="B75" s="101" t="s">
        <v>184</v>
      </c>
      <c r="C75" s="101">
        <v>46148</v>
      </c>
      <c r="D75" s="117">
        <v>46167</v>
      </c>
      <c r="E75" s="106" t="s">
        <v>236</v>
      </c>
      <c r="F75" s="98" t="s">
        <v>130</v>
      </c>
      <c r="G75" s="99" t="s">
        <v>101</v>
      </c>
      <c r="H75" s="100" t="s">
        <v>131</v>
      </c>
      <c r="I75" s="107" t="s">
        <v>132</v>
      </c>
      <c r="J75" s="102" t="s">
        <v>111</v>
      </c>
      <c r="K75" s="103">
        <v>30</v>
      </c>
      <c r="L75" s="104" t="s">
        <v>110</v>
      </c>
      <c r="M75" s="104" t="s">
        <v>139</v>
      </c>
      <c r="N75" s="104"/>
      <c r="O75" s="109"/>
      <c r="P75" s="109"/>
      <c r="Q75" s="105" t="s">
        <v>458</v>
      </c>
    </row>
    <row r="76" spans="1:17" ht="15" customHeight="1">
      <c r="A76" s="97">
        <v>75</v>
      </c>
      <c r="B76" s="101" t="s">
        <v>184</v>
      </c>
      <c r="C76" s="101">
        <v>46148</v>
      </c>
      <c r="D76" s="117">
        <v>46167</v>
      </c>
      <c r="E76" s="106" t="s">
        <v>237</v>
      </c>
      <c r="F76" s="98" t="s">
        <v>133</v>
      </c>
      <c r="G76" s="99" t="s">
        <v>101</v>
      </c>
      <c r="H76" s="100" t="s">
        <v>128</v>
      </c>
      <c r="I76" s="107" t="s">
        <v>137</v>
      </c>
      <c r="J76" s="102" t="s">
        <v>111</v>
      </c>
      <c r="K76" s="103">
        <v>30</v>
      </c>
      <c r="L76" s="104" t="s">
        <v>110</v>
      </c>
      <c r="M76" s="104" t="s">
        <v>139</v>
      </c>
      <c r="N76" s="104"/>
      <c r="O76" s="109"/>
      <c r="P76" s="109"/>
      <c r="Q76" s="105" t="s">
        <v>458</v>
      </c>
    </row>
    <row r="77" spans="1:17" s="108" customFormat="1" ht="15" customHeight="1">
      <c r="A77" s="97">
        <v>76</v>
      </c>
      <c r="B77" s="101" t="s">
        <v>212</v>
      </c>
      <c r="C77" s="101">
        <v>46148</v>
      </c>
      <c r="D77" s="101">
        <v>46167</v>
      </c>
      <c r="E77" s="112" t="s">
        <v>400</v>
      </c>
      <c r="F77" s="98" t="s">
        <v>277</v>
      </c>
      <c r="G77" s="99" t="s">
        <v>144</v>
      </c>
      <c r="H77" s="100" t="s">
        <v>278</v>
      </c>
      <c r="I77" s="104" t="s">
        <v>280</v>
      </c>
      <c r="J77" s="102" t="s">
        <v>146</v>
      </c>
      <c r="K77" s="103">
        <v>7</v>
      </c>
      <c r="L77" s="104" t="s">
        <v>110</v>
      </c>
      <c r="M77" s="104" t="s">
        <v>147</v>
      </c>
      <c r="N77" s="104" t="s">
        <v>211</v>
      </c>
      <c r="O77" s="110">
        <v>800</v>
      </c>
      <c r="P77" s="110">
        <v>920</v>
      </c>
      <c r="Q77" s="114" t="s">
        <v>458</v>
      </c>
    </row>
    <row r="78" spans="1:17" s="108" customFormat="1" ht="15" customHeight="1">
      <c r="A78" s="97">
        <v>77</v>
      </c>
      <c r="B78" s="101" t="s">
        <v>212</v>
      </c>
      <c r="C78" s="101">
        <v>46148</v>
      </c>
      <c r="D78" s="101">
        <v>46167</v>
      </c>
      <c r="E78" s="112" t="s">
        <v>401</v>
      </c>
      <c r="F78" s="98" t="s">
        <v>275</v>
      </c>
      <c r="G78" s="99" t="s">
        <v>144</v>
      </c>
      <c r="H78" s="100" t="s">
        <v>279</v>
      </c>
      <c r="I78" s="104" t="s">
        <v>281</v>
      </c>
      <c r="J78" s="102" t="s">
        <v>146</v>
      </c>
      <c r="K78" s="103">
        <v>7</v>
      </c>
      <c r="L78" s="104" t="s">
        <v>110</v>
      </c>
      <c r="M78" s="104" t="s">
        <v>147</v>
      </c>
      <c r="N78" s="104" t="s">
        <v>211</v>
      </c>
      <c r="O78" s="110">
        <v>800</v>
      </c>
      <c r="P78" s="110">
        <v>920</v>
      </c>
      <c r="Q78" s="114" t="s">
        <v>458</v>
      </c>
    </row>
    <row r="79" spans="1:17" s="108" customFormat="1" ht="15" customHeight="1">
      <c r="A79" s="97">
        <v>78</v>
      </c>
      <c r="B79" s="101" t="s">
        <v>212</v>
      </c>
      <c r="C79" s="101">
        <v>46148</v>
      </c>
      <c r="D79" s="101">
        <v>46167</v>
      </c>
      <c r="E79" s="112" t="s">
        <v>402</v>
      </c>
      <c r="F79" s="98" t="s">
        <v>222</v>
      </c>
      <c r="G79" s="99" t="s">
        <v>144</v>
      </c>
      <c r="H79" s="100" t="s">
        <v>142</v>
      </c>
      <c r="I79" s="104" t="s">
        <v>215</v>
      </c>
      <c r="J79" s="102" t="s">
        <v>146</v>
      </c>
      <c r="K79" s="103">
        <v>7</v>
      </c>
      <c r="L79" s="104" t="s">
        <v>110</v>
      </c>
      <c r="M79" s="104" t="s">
        <v>147</v>
      </c>
      <c r="N79" s="104" t="s">
        <v>211</v>
      </c>
      <c r="O79" s="110">
        <v>800</v>
      </c>
      <c r="P79" s="110">
        <v>920</v>
      </c>
      <c r="Q79" s="114" t="s">
        <v>458</v>
      </c>
    </row>
    <row r="80" spans="1:17" s="108" customFormat="1" ht="15" customHeight="1">
      <c r="A80" s="97">
        <v>79</v>
      </c>
      <c r="B80" s="101" t="s">
        <v>212</v>
      </c>
      <c r="C80" s="101">
        <v>46148</v>
      </c>
      <c r="D80" s="101">
        <v>46167</v>
      </c>
      <c r="E80" s="112" t="s">
        <v>403</v>
      </c>
      <c r="F80" s="98" t="s">
        <v>275</v>
      </c>
      <c r="G80" s="99" t="s">
        <v>144</v>
      </c>
      <c r="H80" s="100" t="s">
        <v>279</v>
      </c>
      <c r="I80" s="104" t="s">
        <v>281</v>
      </c>
      <c r="J80" s="102" t="s">
        <v>146</v>
      </c>
      <c r="K80" s="103">
        <v>7</v>
      </c>
      <c r="L80" s="104" t="s">
        <v>110</v>
      </c>
      <c r="M80" s="104" t="s">
        <v>147</v>
      </c>
      <c r="N80" s="104" t="s">
        <v>211</v>
      </c>
      <c r="O80" s="110">
        <v>800</v>
      </c>
      <c r="P80" s="110">
        <v>920</v>
      </c>
      <c r="Q80" s="114" t="s">
        <v>458</v>
      </c>
    </row>
    <row r="81" spans="1:17" s="108" customFormat="1" ht="15" customHeight="1">
      <c r="A81" s="97">
        <v>80</v>
      </c>
      <c r="B81" s="101" t="s">
        <v>212</v>
      </c>
      <c r="C81" s="101">
        <v>46148</v>
      </c>
      <c r="D81" s="101">
        <v>46167</v>
      </c>
      <c r="E81" s="112" t="s">
        <v>404</v>
      </c>
      <c r="F81" s="98" t="s">
        <v>276</v>
      </c>
      <c r="G81" s="99" t="s">
        <v>144</v>
      </c>
      <c r="H81" s="100" t="s">
        <v>248</v>
      </c>
      <c r="I81" s="104" t="s">
        <v>282</v>
      </c>
      <c r="J81" s="102" t="s">
        <v>146</v>
      </c>
      <c r="K81" s="103">
        <v>14</v>
      </c>
      <c r="L81" s="104" t="s">
        <v>110</v>
      </c>
      <c r="M81" s="104" t="s">
        <v>147</v>
      </c>
      <c r="N81" s="104" t="s">
        <v>211</v>
      </c>
      <c r="O81" s="110">
        <v>800</v>
      </c>
      <c r="P81" s="110">
        <v>920</v>
      </c>
      <c r="Q81" s="114" t="s">
        <v>458</v>
      </c>
    </row>
    <row r="82" spans="1:17" s="108" customFormat="1" ht="15" customHeight="1">
      <c r="A82" s="97">
        <v>81</v>
      </c>
      <c r="B82" s="101" t="s">
        <v>212</v>
      </c>
      <c r="C82" s="101">
        <v>46148</v>
      </c>
      <c r="D82" s="101">
        <v>46167</v>
      </c>
      <c r="E82" s="112" t="s">
        <v>405</v>
      </c>
      <c r="F82" s="98" t="s">
        <v>242</v>
      </c>
      <c r="G82" s="99" t="s">
        <v>144</v>
      </c>
      <c r="H82" s="100" t="s">
        <v>246</v>
      </c>
      <c r="I82" s="104" t="s">
        <v>283</v>
      </c>
      <c r="J82" s="102" t="s">
        <v>146</v>
      </c>
      <c r="K82" s="103">
        <v>14</v>
      </c>
      <c r="L82" s="104" t="s">
        <v>110</v>
      </c>
      <c r="M82" s="104" t="s">
        <v>147</v>
      </c>
      <c r="N82" s="104" t="s">
        <v>211</v>
      </c>
      <c r="O82" s="110">
        <v>800</v>
      </c>
      <c r="P82" s="110">
        <v>920</v>
      </c>
      <c r="Q82" s="114" t="s">
        <v>458</v>
      </c>
    </row>
    <row r="83" spans="1:17" s="108" customFormat="1" ht="15" customHeight="1">
      <c r="A83" s="97">
        <v>82</v>
      </c>
      <c r="B83" s="101" t="s">
        <v>212</v>
      </c>
      <c r="C83" s="101">
        <v>46148</v>
      </c>
      <c r="D83" s="101">
        <v>46167</v>
      </c>
      <c r="E83" s="112" t="s">
        <v>407</v>
      </c>
      <c r="F83" s="98" t="s">
        <v>222</v>
      </c>
      <c r="G83" s="99" t="s">
        <v>144</v>
      </c>
      <c r="H83" s="100" t="s">
        <v>142</v>
      </c>
      <c r="I83" s="104" t="s">
        <v>215</v>
      </c>
      <c r="J83" s="102" t="s">
        <v>146</v>
      </c>
      <c r="K83" s="103">
        <v>7</v>
      </c>
      <c r="L83" s="104" t="s">
        <v>110</v>
      </c>
      <c r="M83" s="104" t="s">
        <v>147</v>
      </c>
      <c r="N83" s="104" t="s">
        <v>211</v>
      </c>
      <c r="O83" s="110">
        <v>800</v>
      </c>
      <c r="P83" s="110">
        <v>920</v>
      </c>
      <c r="Q83" s="114" t="s">
        <v>458</v>
      </c>
    </row>
    <row r="84" spans="1:17" s="108" customFormat="1" ht="15" customHeight="1">
      <c r="A84" s="97">
        <v>83</v>
      </c>
      <c r="B84" s="101" t="s">
        <v>212</v>
      </c>
      <c r="C84" s="101">
        <v>46148</v>
      </c>
      <c r="D84" s="101">
        <v>46167</v>
      </c>
      <c r="E84" s="112" t="s">
        <v>406</v>
      </c>
      <c r="F84" s="98" t="s">
        <v>242</v>
      </c>
      <c r="G84" s="99" t="s">
        <v>144</v>
      </c>
      <c r="H84" s="100" t="s">
        <v>246</v>
      </c>
      <c r="I84" s="104" t="s">
        <v>283</v>
      </c>
      <c r="J84" s="102" t="s">
        <v>146</v>
      </c>
      <c r="K84" s="103">
        <v>14</v>
      </c>
      <c r="L84" s="104" t="s">
        <v>110</v>
      </c>
      <c r="M84" s="104" t="s">
        <v>147</v>
      </c>
      <c r="N84" s="104" t="s">
        <v>211</v>
      </c>
      <c r="O84" s="110">
        <v>800</v>
      </c>
      <c r="P84" s="110">
        <v>920</v>
      </c>
      <c r="Q84" s="114" t="s">
        <v>458</v>
      </c>
    </row>
    <row r="85" spans="1:17" ht="15" customHeight="1">
      <c r="A85" s="97">
        <v>84</v>
      </c>
      <c r="B85" s="101" t="s">
        <v>182</v>
      </c>
      <c r="C85" s="101">
        <v>46148</v>
      </c>
      <c r="D85" s="117">
        <v>46167</v>
      </c>
      <c r="E85" s="106" t="s">
        <v>251</v>
      </c>
      <c r="F85" s="98" t="s">
        <v>130</v>
      </c>
      <c r="G85" s="99" t="s">
        <v>101</v>
      </c>
      <c r="H85" s="100" t="s">
        <v>131</v>
      </c>
      <c r="I85" s="104" t="s">
        <v>132</v>
      </c>
      <c r="J85" s="102" t="s">
        <v>127</v>
      </c>
      <c r="K85" s="103">
        <v>30</v>
      </c>
      <c r="L85" s="104" t="s">
        <v>100</v>
      </c>
      <c r="M85" s="104" t="s">
        <v>139</v>
      </c>
      <c r="N85" s="104"/>
      <c r="O85" s="109"/>
      <c r="P85" s="109"/>
      <c r="Q85" s="114" t="s">
        <v>458</v>
      </c>
    </row>
    <row r="86" spans="1:17" ht="15" customHeight="1">
      <c r="A86" s="97">
        <v>85</v>
      </c>
      <c r="B86" s="101" t="s">
        <v>182</v>
      </c>
      <c r="C86" s="101">
        <v>46148</v>
      </c>
      <c r="D86" s="117">
        <v>46167</v>
      </c>
      <c r="E86" s="106" t="s">
        <v>252</v>
      </c>
      <c r="F86" s="98" t="s">
        <v>133</v>
      </c>
      <c r="G86" s="99" t="s">
        <v>101</v>
      </c>
      <c r="H86" s="100" t="s">
        <v>128</v>
      </c>
      <c r="I86" s="104" t="s">
        <v>137</v>
      </c>
      <c r="J86" s="102" t="s">
        <v>127</v>
      </c>
      <c r="K86" s="103">
        <v>30</v>
      </c>
      <c r="L86" s="104" t="s">
        <v>100</v>
      </c>
      <c r="M86" s="104" t="s">
        <v>139</v>
      </c>
      <c r="N86" s="104"/>
      <c r="O86" s="109"/>
      <c r="P86" s="109"/>
      <c r="Q86" s="114" t="s">
        <v>458</v>
      </c>
    </row>
    <row r="87" spans="1:17" ht="15" customHeight="1">
      <c r="A87" s="97">
        <v>86</v>
      </c>
      <c r="B87" s="101" t="s">
        <v>184</v>
      </c>
      <c r="C87" s="101">
        <v>46148</v>
      </c>
      <c r="D87" s="117">
        <v>46168</v>
      </c>
      <c r="E87" s="106" t="s">
        <v>238</v>
      </c>
      <c r="F87" s="98" t="s">
        <v>189</v>
      </c>
      <c r="G87" s="99" t="s">
        <v>144</v>
      </c>
      <c r="H87" s="100">
        <v>33</v>
      </c>
      <c r="I87" s="104" t="s">
        <v>239</v>
      </c>
      <c r="J87" s="102" t="s">
        <v>111</v>
      </c>
      <c r="K87" s="103">
        <v>30</v>
      </c>
      <c r="L87" s="104" t="s">
        <v>110</v>
      </c>
      <c r="M87" s="104" t="s">
        <v>139</v>
      </c>
      <c r="N87" s="104"/>
      <c r="O87" s="109"/>
      <c r="P87" s="109"/>
      <c r="Q87" s="105" t="s">
        <v>458</v>
      </c>
    </row>
    <row r="88" spans="1:17" ht="15" customHeight="1">
      <c r="A88" s="97">
        <v>87</v>
      </c>
      <c r="B88" s="101" t="s">
        <v>184</v>
      </c>
      <c r="C88" s="101">
        <v>46148</v>
      </c>
      <c r="D88" s="117">
        <v>46168</v>
      </c>
      <c r="E88" s="106" t="s">
        <v>240</v>
      </c>
      <c r="F88" s="98" t="s">
        <v>130</v>
      </c>
      <c r="G88" s="99" t="s">
        <v>101</v>
      </c>
      <c r="H88" s="100" t="s">
        <v>131</v>
      </c>
      <c r="I88" s="107" t="s">
        <v>132</v>
      </c>
      <c r="J88" s="102" t="s">
        <v>111</v>
      </c>
      <c r="K88" s="103">
        <v>30</v>
      </c>
      <c r="L88" s="104" t="s">
        <v>110</v>
      </c>
      <c r="M88" s="104" t="s">
        <v>139</v>
      </c>
      <c r="N88" s="104"/>
      <c r="O88" s="109"/>
      <c r="P88" s="109"/>
      <c r="Q88" s="105" t="s">
        <v>458</v>
      </c>
    </row>
    <row r="89" spans="1:17" ht="15" customHeight="1">
      <c r="A89" s="97">
        <v>88</v>
      </c>
      <c r="B89" s="101" t="s">
        <v>184</v>
      </c>
      <c r="C89" s="101">
        <v>46148</v>
      </c>
      <c r="D89" s="117">
        <v>46168</v>
      </c>
      <c r="E89" s="106" t="s">
        <v>241</v>
      </c>
      <c r="F89" s="98" t="s">
        <v>130</v>
      </c>
      <c r="G89" s="99" t="s">
        <v>101</v>
      </c>
      <c r="H89" s="100" t="s">
        <v>131</v>
      </c>
      <c r="I89" s="107" t="s">
        <v>132</v>
      </c>
      <c r="J89" s="102" t="s">
        <v>111</v>
      </c>
      <c r="K89" s="103">
        <v>30</v>
      </c>
      <c r="L89" s="104" t="s">
        <v>110</v>
      </c>
      <c r="M89" s="104" t="s">
        <v>139</v>
      </c>
      <c r="N89" s="104"/>
      <c r="O89" s="109"/>
      <c r="P89" s="109"/>
      <c r="Q89" s="105" t="s">
        <v>458</v>
      </c>
    </row>
    <row r="90" spans="1:17" ht="15" customHeight="1">
      <c r="A90" s="97">
        <v>89</v>
      </c>
      <c r="B90" s="101" t="s">
        <v>184</v>
      </c>
      <c r="C90" s="101">
        <v>46148</v>
      </c>
      <c r="D90" s="117">
        <v>46168</v>
      </c>
      <c r="E90" s="106">
        <v>63397</v>
      </c>
      <c r="F90" s="98" t="s">
        <v>130</v>
      </c>
      <c r="G90" s="99" t="s">
        <v>101</v>
      </c>
      <c r="H90" s="100" t="s">
        <v>131</v>
      </c>
      <c r="I90" s="107" t="s">
        <v>132</v>
      </c>
      <c r="J90" s="102" t="s">
        <v>250</v>
      </c>
      <c r="K90" s="103">
        <v>30</v>
      </c>
      <c r="L90" s="104" t="s">
        <v>110</v>
      </c>
      <c r="M90" s="104" t="s">
        <v>139</v>
      </c>
      <c r="N90" s="104"/>
      <c r="O90" s="109"/>
      <c r="P90" s="109"/>
      <c r="Q90" s="105" t="s">
        <v>458</v>
      </c>
    </row>
    <row r="91" spans="1:17" ht="15" customHeight="1">
      <c r="A91" s="97">
        <v>90</v>
      </c>
      <c r="B91" s="101" t="s">
        <v>184</v>
      </c>
      <c r="C91" s="101">
        <v>46148</v>
      </c>
      <c r="D91" s="117">
        <v>46168</v>
      </c>
      <c r="E91" s="106">
        <v>63419</v>
      </c>
      <c r="F91" s="98" t="s">
        <v>130</v>
      </c>
      <c r="G91" s="99" t="s">
        <v>101</v>
      </c>
      <c r="H91" s="100" t="s">
        <v>131</v>
      </c>
      <c r="I91" s="107" t="s">
        <v>132</v>
      </c>
      <c r="J91" s="102" t="s">
        <v>250</v>
      </c>
      <c r="K91" s="103">
        <v>30</v>
      </c>
      <c r="L91" s="104" t="s">
        <v>110</v>
      </c>
      <c r="M91" s="104" t="s">
        <v>139</v>
      </c>
      <c r="N91" s="104"/>
      <c r="O91" s="109"/>
      <c r="P91" s="109"/>
      <c r="Q91" s="105" t="s">
        <v>458</v>
      </c>
    </row>
    <row r="92" spans="1:17" ht="15" customHeight="1">
      <c r="A92" s="97">
        <v>91</v>
      </c>
      <c r="B92" s="101" t="s">
        <v>212</v>
      </c>
      <c r="C92" s="101">
        <v>46148</v>
      </c>
      <c r="D92" s="101">
        <v>46168</v>
      </c>
      <c r="E92" s="112" t="s">
        <v>408</v>
      </c>
      <c r="F92" s="98" t="s">
        <v>242</v>
      </c>
      <c r="G92" s="99" t="s">
        <v>144</v>
      </c>
      <c r="H92" s="100" t="s">
        <v>246</v>
      </c>
      <c r="I92" s="104" t="s">
        <v>271</v>
      </c>
      <c r="J92" s="102" t="s">
        <v>146</v>
      </c>
      <c r="K92" s="103">
        <v>14</v>
      </c>
      <c r="L92" s="104" t="s">
        <v>110</v>
      </c>
      <c r="M92" s="104" t="s">
        <v>147</v>
      </c>
      <c r="N92" s="104" t="s">
        <v>211</v>
      </c>
      <c r="O92" s="110">
        <v>40</v>
      </c>
      <c r="P92" s="110">
        <v>137</v>
      </c>
      <c r="Q92" s="114" t="s">
        <v>458</v>
      </c>
    </row>
    <row r="93" spans="1:17" ht="15" customHeight="1">
      <c r="A93" s="97">
        <v>92</v>
      </c>
      <c r="B93" s="101" t="s">
        <v>212</v>
      </c>
      <c r="C93" s="101">
        <v>46148</v>
      </c>
      <c r="D93" s="101">
        <v>46168</v>
      </c>
      <c r="E93" s="112" t="s">
        <v>409</v>
      </c>
      <c r="F93" s="98" t="s">
        <v>243</v>
      </c>
      <c r="G93" s="99" t="s">
        <v>144</v>
      </c>
      <c r="H93" s="100" t="s">
        <v>247</v>
      </c>
      <c r="I93" s="104" t="s">
        <v>272</v>
      </c>
      <c r="J93" s="102" t="s">
        <v>146</v>
      </c>
      <c r="K93" s="103">
        <v>14</v>
      </c>
      <c r="L93" s="104" t="s">
        <v>110</v>
      </c>
      <c r="M93" s="104" t="s">
        <v>147</v>
      </c>
      <c r="N93" s="104" t="s">
        <v>211</v>
      </c>
      <c r="O93" s="110">
        <v>40</v>
      </c>
      <c r="P93" s="110">
        <v>137</v>
      </c>
      <c r="Q93" s="114" t="s">
        <v>458</v>
      </c>
    </row>
    <row r="94" spans="1:17" ht="15" customHeight="1">
      <c r="A94" s="97">
        <v>93</v>
      </c>
      <c r="B94" s="101" t="s">
        <v>212</v>
      </c>
      <c r="C94" s="101">
        <v>46148</v>
      </c>
      <c r="D94" s="101">
        <v>46168</v>
      </c>
      <c r="E94" s="112" t="s">
        <v>410</v>
      </c>
      <c r="F94" s="98" t="s">
        <v>244</v>
      </c>
      <c r="G94" s="99" t="s">
        <v>144</v>
      </c>
      <c r="H94" s="100" t="s">
        <v>248</v>
      </c>
      <c r="I94" s="104" t="s">
        <v>273</v>
      </c>
      <c r="J94" s="102" t="s">
        <v>146</v>
      </c>
      <c r="K94" s="103">
        <v>14</v>
      </c>
      <c r="L94" s="104" t="s">
        <v>110</v>
      </c>
      <c r="M94" s="104" t="s">
        <v>147</v>
      </c>
      <c r="N94" s="104" t="s">
        <v>211</v>
      </c>
      <c r="O94" s="110">
        <v>40</v>
      </c>
      <c r="P94" s="110">
        <v>137</v>
      </c>
      <c r="Q94" s="114" t="s">
        <v>458</v>
      </c>
    </row>
    <row r="95" spans="1:17" ht="15" customHeight="1">
      <c r="A95" s="97">
        <v>94</v>
      </c>
      <c r="B95" s="101" t="s">
        <v>212</v>
      </c>
      <c r="C95" s="101">
        <v>46148</v>
      </c>
      <c r="D95" s="101">
        <v>46168</v>
      </c>
      <c r="E95" s="112" t="s">
        <v>411</v>
      </c>
      <c r="F95" s="98" t="s">
        <v>222</v>
      </c>
      <c r="G95" s="99" t="s">
        <v>144</v>
      </c>
      <c r="H95" s="100" t="s">
        <v>142</v>
      </c>
      <c r="I95" s="104" t="s">
        <v>215</v>
      </c>
      <c r="J95" s="102" t="s">
        <v>146</v>
      </c>
      <c r="K95" s="103">
        <v>7</v>
      </c>
      <c r="L95" s="104" t="s">
        <v>110</v>
      </c>
      <c r="M95" s="104" t="s">
        <v>147</v>
      </c>
      <c r="N95" s="104" t="s">
        <v>211</v>
      </c>
      <c r="O95" s="110">
        <v>40</v>
      </c>
      <c r="P95" s="110">
        <v>137</v>
      </c>
      <c r="Q95" s="114" t="s">
        <v>458</v>
      </c>
    </row>
    <row r="96" spans="1:17" ht="15" customHeight="1">
      <c r="A96" s="97">
        <v>95</v>
      </c>
      <c r="B96" s="101" t="s">
        <v>212</v>
      </c>
      <c r="C96" s="101">
        <v>46148</v>
      </c>
      <c r="D96" s="101">
        <v>46168</v>
      </c>
      <c r="E96" s="112" t="s">
        <v>412</v>
      </c>
      <c r="F96" s="98" t="s">
        <v>243</v>
      </c>
      <c r="G96" s="99" t="s">
        <v>144</v>
      </c>
      <c r="H96" s="100" t="s">
        <v>247</v>
      </c>
      <c r="I96" s="104" t="s">
        <v>272</v>
      </c>
      <c r="J96" s="102" t="s">
        <v>146</v>
      </c>
      <c r="K96" s="103">
        <v>14</v>
      </c>
      <c r="L96" s="104" t="s">
        <v>110</v>
      </c>
      <c r="M96" s="104" t="s">
        <v>147</v>
      </c>
      <c r="N96" s="104" t="s">
        <v>211</v>
      </c>
      <c r="O96" s="110">
        <v>40</v>
      </c>
      <c r="P96" s="110">
        <v>137</v>
      </c>
      <c r="Q96" s="114" t="s">
        <v>458</v>
      </c>
    </row>
    <row r="97" spans="1:17" ht="15" customHeight="1">
      <c r="A97" s="97">
        <v>96</v>
      </c>
      <c r="B97" s="101" t="s">
        <v>212</v>
      </c>
      <c r="C97" s="101">
        <v>46148</v>
      </c>
      <c r="D97" s="101">
        <v>46168</v>
      </c>
      <c r="E97" s="112" t="s">
        <v>413</v>
      </c>
      <c r="F97" s="98" t="s">
        <v>245</v>
      </c>
      <c r="G97" s="99" t="s">
        <v>144</v>
      </c>
      <c r="H97" s="100" t="s">
        <v>249</v>
      </c>
      <c r="I97" s="104" t="s">
        <v>274</v>
      </c>
      <c r="J97" s="102" t="s">
        <v>146</v>
      </c>
      <c r="K97" s="103">
        <v>7</v>
      </c>
      <c r="L97" s="104" t="s">
        <v>110</v>
      </c>
      <c r="M97" s="104" t="s">
        <v>147</v>
      </c>
      <c r="N97" s="104" t="s">
        <v>211</v>
      </c>
      <c r="O97" s="110">
        <v>370</v>
      </c>
      <c r="P97" s="110">
        <v>440</v>
      </c>
      <c r="Q97" s="114" t="s">
        <v>458</v>
      </c>
    </row>
    <row r="98" spans="1:17" ht="15" customHeight="1">
      <c r="A98" s="97">
        <v>97</v>
      </c>
      <c r="B98" s="101" t="s">
        <v>212</v>
      </c>
      <c r="C98" s="101">
        <v>46148</v>
      </c>
      <c r="D98" s="101">
        <v>46168</v>
      </c>
      <c r="E98" s="112" t="s">
        <v>414</v>
      </c>
      <c r="F98" s="98" t="s">
        <v>226</v>
      </c>
      <c r="G98" s="99" t="s">
        <v>144</v>
      </c>
      <c r="H98" s="100" t="s">
        <v>200</v>
      </c>
      <c r="I98" s="104" t="s">
        <v>266</v>
      </c>
      <c r="J98" s="102" t="s">
        <v>146</v>
      </c>
      <c r="K98" s="103">
        <v>14</v>
      </c>
      <c r="L98" s="104" t="s">
        <v>110</v>
      </c>
      <c r="M98" s="104" t="s">
        <v>147</v>
      </c>
      <c r="N98" s="104" t="s">
        <v>211</v>
      </c>
      <c r="O98" s="110">
        <v>370</v>
      </c>
      <c r="P98" s="110">
        <v>440</v>
      </c>
      <c r="Q98" s="114" t="s">
        <v>458</v>
      </c>
    </row>
    <row r="99" spans="1:17" ht="15" customHeight="1">
      <c r="A99" s="97">
        <v>98</v>
      </c>
      <c r="B99" s="101" t="s">
        <v>212</v>
      </c>
      <c r="C99" s="101">
        <v>46148</v>
      </c>
      <c r="D99" s="101">
        <v>46168</v>
      </c>
      <c r="E99" s="112" t="s">
        <v>415</v>
      </c>
      <c r="F99" s="98" t="s">
        <v>226</v>
      </c>
      <c r="G99" s="99" t="s">
        <v>144</v>
      </c>
      <c r="H99" s="100" t="s">
        <v>200</v>
      </c>
      <c r="I99" s="104" t="s">
        <v>266</v>
      </c>
      <c r="J99" s="102" t="s">
        <v>146</v>
      </c>
      <c r="K99" s="103">
        <v>14</v>
      </c>
      <c r="L99" s="104" t="s">
        <v>110</v>
      </c>
      <c r="M99" s="104" t="s">
        <v>147</v>
      </c>
      <c r="N99" s="104" t="s">
        <v>211</v>
      </c>
      <c r="O99" s="110">
        <v>40</v>
      </c>
      <c r="P99" s="110">
        <v>137</v>
      </c>
      <c r="Q99" s="114" t="s">
        <v>458</v>
      </c>
    </row>
    <row r="100" spans="1:17" ht="15" customHeight="1">
      <c r="A100" s="97">
        <v>99</v>
      </c>
      <c r="B100" s="101" t="s">
        <v>184</v>
      </c>
      <c r="C100" s="101">
        <v>46148</v>
      </c>
      <c r="D100" s="117">
        <v>46169</v>
      </c>
      <c r="E100" s="106">
        <v>176</v>
      </c>
      <c r="F100" s="98" t="s">
        <v>130</v>
      </c>
      <c r="G100" s="99" t="s">
        <v>101</v>
      </c>
      <c r="H100" s="100" t="s">
        <v>131</v>
      </c>
      <c r="I100" s="107" t="s">
        <v>132</v>
      </c>
      <c r="J100" s="102" t="s">
        <v>111</v>
      </c>
      <c r="K100" s="103">
        <v>30</v>
      </c>
      <c r="L100" s="104" t="s">
        <v>110</v>
      </c>
      <c r="M100" s="104" t="s">
        <v>139</v>
      </c>
      <c r="N100" s="104"/>
      <c r="O100" s="109"/>
      <c r="P100" s="109"/>
      <c r="Q100" s="105" t="s">
        <v>458</v>
      </c>
    </row>
    <row r="101" spans="1:17" ht="15" customHeight="1">
      <c r="A101" s="97">
        <v>100</v>
      </c>
      <c r="B101" s="101" t="s">
        <v>184</v>
      </c>
      <c r="C101" s="101">
        <v>46148</v>
      </c>
      <c r="D101" s="117">
        <v>46169</v>
      </c>
      <c r="E101" s="106">
        <v>175</v>
      </c>
      <c r="F101" s="98" t="s">
        <v>130</v>
      </c>
      <c r="G101" s="99" t="s">
        <v>101</v>
      </c>
      <c r="H101" s="100" t="s">
        <v>131</v>
      </c>
      <c r="I101" s="107" t="s">
        <v>132</v>
      </c>
      <c r="J101" s="102" t="s">
        <v>111</v>
      </c>
      <c r="K101" s="103">
        <v>30</v>
      </c>
      <c r="L101" s="104" t="s">
        <v>110</v>
      </c>
      <c r="M101" s="104" t="s">
        <v>139</v>
      </c>
      <c r="N101" s="104"/>
      <c r="O101" s="109"/>
      <c r="P101" s="109"/>
      <c r="Q101" s="105" t="s">
        <v>458</v>
      </c>
    </row>
    <row r="102" spans="1:17" ht="15" customHeight="1">
      <c r="A102" s="97">
        <v>101</v>
      </c>
      <c r="B102" s="101" t="s">
        <v>184</v>
      </c>
      <c r="C102" s="101">
        <v>46148</v>
      </c>
      <c r="D102" s="117">
        <v>46169</v>
      </c>
      <c r="E102" s="106">
        <v>174</v>
      </c>
      <c r="F102" s="98" t="s">
        <v>130</v>
      </c>
      <c r="G102" s="99" t="s">
        <v>101</v>
      </c>
      <c r="H102" s="100" t="s">
        <v>131</v>
      </c>
      <c r="I102" s="107" t="s">
        <v>132</v>
      </c>
      <c r="J102" s="102" t="s">
        <v>111</v>
      </c>
      <c r="K102" s="103">
        <v>30</v>
      </c>
      <c r="L102" s="104" t="s">
        <v>110</v>
      </c>
      <c r="M102" s="104" t="s">
        <v>139</v>
      </c>
      <c r="N102" s="104"/>
      <c r="O102" s="109"/>
      <c r="P102" s="109"/>
      <c r="Q102" s="105" t="s">
        <v>458</v>
      </c>
    </row>
    <row r="103" spans="1:17" ht="15" customHeight="1">
      <c r="A103" s="97">
        <v>102</v>
      </c>
      <c r="B103" s="101" t="s">
        <v>184</v>
      </c>
      <c r="C103" s="101">
        <v>46148</v>
      </c>
      <c r="D103" s="117">
        <v>46169</v>
      </c>
      <c r="E103" s="106">
        <v>117</v>
      </c>
      <c r="F103" s="98" t="s">
        <v>162</v>
      </c>
      <c r="G103" s="99" t="s">
        <v>144</v>
      </c>
      <c r="H103" s="100" t="s">
        <v>171</v>
      </c>
      <c r="I103" s="104"/>
      <c r="J103" s="102" t="s">
        <v>111</v>
      </c>
      <c r="K103" s="103">
        <v>30</v>
      </c>
      <c r="L103" s="104" t="s">
        <v>110</v>
      </c>
      <c r="M103" s="104" t="s">
        <v>139</v>
      </c>
      <c r="N103" s="104"/>
      <c r="O103" s="109"/>
      <c r="P103" s="109"/>
      <c r="Q103" s="105" t="s">
        <v>458</v>
      </c>
    </row>
    <row r="104" spans="1:17" ht="15" customHeight="1">
      <c r="A104" s="97">
        <v>103</v>
      </c>
      <c r="B104" s="101" t="s">
        <v>212</v>
      </c>
      <c r="C104" s="101">
        <v>46148</v>
      </c>
      <c r="D104" s="101">
        <v>46169</v>
      </c>
      <c r="E104" s="112" t="s">
        <v>417</v>
      </c>
      <c r="F104" s="98" t="s">
        <v>221</v>
      </c>
      <c r="G104" s="99" t="s">
        <v>144</v>
      </c>
      <c r="H104" s="100" t="s">
        <v>196</v>
      </c>
      <c r="I104" s="104" t="s">
        <v>203</v>
      </c>
      <c r="J104" s="102" t="s">
        <v>146</v>
      </c>
      <c r="K104" s="103">
        <v>7</v>
      </c>
      <c r="L104" s="104" t="s">
        <v>110</v>
      </c>
      <c r="M104" s="104" t="s">
        <v>147</v>
      </c>
      <c r="N104" s="104" t="s">
        <v>211</v>
      </c>
      <c r="O104" s="110">
        <v>40</v>
      </c>
      <c r="P104" s="110">
        <v>137</v>
      </c>
      <c r="Q104" s="114" t="s">
        <v>458</v>
      </c>
    </row>
    <row r="105" spans="1:17" ht="15" customHeight="1">
      <c r="A105" s="97">
        <v>104</v>
      </c>
      <c r="B105" s="101" t="s">
        <v>212</v>
      </c>
      <c r="C105" s="101">
        <v>46148</v>
      </c>
      <c r="D105" s="101">
        <v>46169</v>
      </c>
      <c r="E105" s="112" t="s">
        <v>418</v>
      </c>
      <c r="F105" s="98" t="s">
        <v>221</v>
      </c>
      <c r="G105" s="99" t="s">
        <v>144</v>
      </c>
      <c r="H105" s="100" t="s">
        <v>196</v>
      </c>
      <c r="I105" s="104" t="s">
        <v>203</v>
      </c>
      <c r="J105" s="102" t="s">
        <v>146</v>
      </c>
      <c r="K105" s="103">
        <v>7</v>
      </c>
      <c r="L105" s="104" t="s">
        <v>110</v>
      </c>
      <c r="M105" s="104" t="s">
        <v>147</v>
      </c>
      <c r="N105" s="104" t="s">
        <v>211</v>
      </c>
      <c r="O105" s="110">
        <v>40</v>
      </c>
      <c r="P105" s="110">
        <v>137</v>
      </c>
      <c r="Q105" s="114" t="s">
        <v>458</v>
      </c>
    </row>
    <row r="106" spans="1:17" ht="15" customHeight="1">
      <c r="A106" s="97">
        <v>105</v>
      </c>
      <c r="B106" s="101" t="s">
        <v>212</v>
      </c>
      <c r="C106" s="101">
        <v>46148</v>
      </c>
      <c r="D106" s="101">
        <v>46169</v>
      </c>
      <c r="E106" s="112" t="s">
        <v>419</v>
      </c>
      <c r="F106" s="98" t="s">
        <v>254</v>
      </c>
      <c r="G106" s="99" t="s">
        <v>144</v>
      </c>
      <c r="H106" s="100" t="s">
        <v>259</v>
      </c>
      <c r="I106" s="104" t="s">
        <v>264</v>
      </c>
      <c r="J106" s="102" t="s">
        <v>146</v>
      </c>
      <c r="K106" s="103">
        <v>7</v>
      </c>
      <c r="L106" s="104" t="s">
        <v>110</v>
      </c>
      <c r="M106" s="104" t="s">
        <v>147</v>
      </c>
      <c r="N106" s="104" t="s">
        <v>211</v>
      </c>
      <c r="O106" s="110">
        <v>40</v>
      </c>
      <c r="P106" s="110">
        <v>137</v>
      </c>
      <c r="Q106" s="114" t="s">
        <v>458</v>
      </c>
    </row>
    <row r="107" spans="1:17" ht="15" customHeight="1">
      <c r="A107" s="97">
        <v>106</v>
      </c>
      <c r="B107" s="101" t="s">
        <v>212</v>
      </c>
      <c r="C107" s="101">
        <v>46148</v>
      </c>
      <c r="D107" s="101">
        <v>46169</v>
      </c>
      <c r="E107" s="112" t="s">
        <v>420</v>
      </c>
      <c r="F107" s="98" t="s">
        <v>254</v>
      </c>
      <c r="G107" s="99" t="s">
        <v>144</v>
      </c>
      <c r="H107" s="100" t="s">
        <v>259</v>
      </c>
      <c r="I107" s="104" t="s">
        <v>264</v>
      </c>
      <c r="J107" s="102" t="s">
        <v>146</v>
      </c>
      <c r="K107" s="103">
        <v>7</v>
      </c>
      <c r="L107" s="104" t="s">
        <v>110</v>
      </c>
      <c r="M107" s="104" t="s">
        <v>147</v>
      </c>
      <c r="N107" s="104" t="s">
        <v>211</v>
      </c>
      <c r="O107" s="110">
        <v>370</v>
      </c>
      <c r="P107" s="110">
        <v>440</v>
      </c>
      <c r="Q107" s="114" t="s">
        <v>458</v>
      </c>
    </row>
    <row r="108" spans="1:17" ht="15" customHeight="1">
      <c r="A108" s="97">
        <v>107</v>
      </c>
      <c r="B108" s="101" t="s">
        <v>212</v>
      </c>
      <c r="C108" s="101">
        <v>46148</v>
      </c>
      <c r="D108" s="101">
        <v>46169</v>
      </c>
      <c r="E108" s="112" t="s">
        <v>416</v>
      </c>
      <c r="F108" s="98" t="s">
        <v>222</v>
      </c>
      <c r="G108" s="99" t="s">
        <v>144</v>
      </c>
      <c r="H108" s="100" t="s">
        <v>142</v>
      </c>
      <c r="I108" s="104" t="s">
        <v>215</v>
      </c>
      <c r="J108" s="102" t="s">
        <v>146</v>
      </c>
      <c r="K108" s="103">
        <v>7</v>
      </c>
      <c r="L108" s="104" t="s">
        <v>110</v>
      </c>
      <c r="M108" s="104" t="s">
        <v>147</v>
      </c>
      <c r="N108" s="104" t="s">
        <v>211</v>
      </c>
      <c r="O108" s="110">
        <v>370</v>
      </c>
      <c r="P108" s="110">
        <v>440</v>
      </c>
      <c r="Q108" s="114" t="s">
        <v>458</v>
      </c>
    </row>
    <row r="109" spans="1:17" ht="15" customHeight="1">
      <c r="A109" s="97">
        <v>108</v>
      </c>
      <c r="B109" s="101" t="s">
        <v>212</v>
      </c>
      <c r="C109" s="101">
        <v>46148</v>
      </c>
      <c r="D109" s="101">
        <v>46169</v>
      </c>
      <c r="E109" s="112" t="s">
        <v>421</v>
      </c>
      <c r="F109" s="98" t="s">
        <v>254</v>
      </c>
      <c r="G109" s="99" t="s">
        <v>144</v>
      </c>
      <c r="H109" s="100" t="s">
        <v>259</v>
      </c>
      <c r="I109" s="104" t="s">
        <v>264</v>
      </c>
      <c r="J109" s="102" t="s">
        <v>146</v>
      </c>
      <c r="K109" s="103">
        <v>7</v>
      </c>
      <c r="L109" s="104" t="s">
        <v>110</v>
      </c>
      <c r="M109" s="104" t="s">
        <v>147</v>
      </c>
      <c r="N109" s="104" t="s">
        <v>211</v>
      </c>
      <c r="O109" s="110">
        <v>370</v>
      </c>
      <c r="P109" s="110">
        <v>440</v>
      </c>
      <c r="Q109" s="114" t="s">
        <v>458</v>
      </c>
    </row>
    <row r="110" spans="1:17" ht="15" customHeight="1">
      <c r="A110" s="97">
        <v>109</v>
      </c>
      <c r="B110" s="101" t="s">
        <v>212</v>
      </c>
      <c r="C110" s="101">
        <v>46148</v>
      </c>
      <c r="D110" s="101">
        <v>46169</v>
      </c>
      <c r="E110" s="112" t="s">
        <v>422</v>
      </c>
      <c r="F110" s="98" t="s">
        <v>223</v>
      </c>
      <c r="G110" s="99" t="s">
        <v>144</v>
      </c>
      <c r="H110" s="100" t="s">
        <v>197</v>
      </c>
      <c r="I110" s="104" t="s">
        <v>204</v>
      </c>
      <c r="J110" s="102" t="s">
        <v>146</v>
      </c>
      <c r="K110" s="103">
        <v>7</v>
      </c>
      <c r="L110" s="104" t="s">
        <v>110</v>
      </c>
      <c r="M110" s="104" t="s">
        <v>147</v>
      </c>
      <c r="N110" s="104" t="s">
        <v>211</v>
      </c>
      <c r="O110" s="110">
        <v>370</v>
      </c>
      <c r="P110" s="110">
        <v>440</v>
      </c>
      <c r="Q110" s="114" t="s">
        <v>458</v>
      </c>
    </row>
    <row r="111" spans="1:17" ht="15" customHeight="1">
      <c r="A111" s="97">
        <v>110</v>
      </c>
      <c r="B111" s="101" t="s">
        <v>212</v>
      </c>
      <c r="C111" s="101">
        <v>46148</v>
      </c>
      <c r="D111" s="101">
        <v>46169</v>
      </c>
      <c r="E111" s="112" t="s">
        <v>423</v>
      </c>
      <c r="F111" s="98" t="s">
        <v>254</v>
      </c>
      <c r="G111" s="99" t="s">
        <v>144</v>
      </c>
      <c r="H111" s="100" t="s">
        <v>259</v>
      </c>
      <c r="I111" s="104" t="s">
        <v>264</v>
      </c>
      <c r="J111" s="102" t="s">
        <v>146</v>
      </c>
      <c r="K111" s="103">
        <v>7</v>
      </c>
      <c r="L111" s="104" t="s">
        <v>110</v>
      </c>
      <c r="M111" s="104" t="s">
        <v>147</v>
      </c>
      <c r="N111" s="104" t="s">
        <v>211</v>
      </c>
      <c r="O111" s="110">
        <v>370</v>
      </c>
      <c r="P111" s="110">
        <v>440</v>
      </c>
      <c r="Q111" s="114" t="s">
        <v>458</v>
      </c>
    </row>
    <row r="112" spans="1:17" ht="15" customHeight="1">
      <c r="A112" s="97">
        <v>111</v>
      </c>
      <c r="B112" s="101" t="s">
        <v>212</v>
      </c>
      <c r="C112" s="101">
        <v>46148</v>
      </c>
      <c r="D112" s="101">
        <v>46169</v>
      </c>
      <c r="E112" s="112" t="s">
        <v>424</v>
      </c>
      <c r="F112" s="98" t="s">
        <v>225</v>
      </c>
      <c r="G112" s="99" t="s">
        <v>144</v>
      </c>
      <c r="H112" s="100" t="s">
        <v>199</v>
      </c>
      <c r="I112" s="104" t="s">
        <v>206</v>
      </c>
      <c r="J112" s="102" t="s">
        <v>146</v>
      </c>
      <c r="K112" s="103">
        <v>7</v>
      </c>
      <c r="L112" s="104" t="s">
        <v>110</v>
      </c>
      <c r="M112" s="104" t="s">
        <v>147</v>
      </c>
      <c r="N112" s="104" t="s">
        <v>211</v>
      </c>
      <c r="O112" s="110">
        <v>370</v>
      </c>
      <c r="P112" s="110">
        <v>440</v>
      </c>
      <c r="Q112" s="114" t="s">
        <v>458</v>
      </c>
    </row>
    <row r="113" spans="1:17" ht="15" customHeight="1">
      <c r="A113" s="97">
        <v>112</v>
      </c>
      <c r="B113" s="101" t="s">
        <v>212</v>
      </c>
      <c r="C113" s="101">
        <v>46148</v>
      </c>
      <c r="D113" s="101">
        <v>46169</v>
      </c>
      <c r="E113" s="112" t="s">
        <v>425</v>
      </c>
      <c r="F113" s="98" t="s">
        <v>225</v>
      </c>
      <c r="G113" s="99" t="s">
        <v>144</v>
      </c>
      <c r="H113" s="100" t="s">
        <v>199</v>
      </c>
      <c r="I113" s="104" t="s">
        <v>206</v>
      </c>
      <c r="J113" s="102" t="s">
        <v>146</v>
      </c>
      <c r="K113" s="103">
        <v>7</v>
      </c>
      <c r="L113" s="104" t="s">
        <v>110</v>
      </c>
      <c r="M113" s="104" t="s">
        <v>147</v>
      </c>
      <c r="N113" s="104" t="s">
        <v>211</v>
      </c>
      <c r="O113" s="110">
        <v>370</v>
      </c>
      <c r="P113" s="110">
        <v>440</v>
      </c>
      <c r="Q113" s="114" t="s">
        <v>458</v>
      </c>
    </row>
    <row r="114" spans="1:17" ht="15" customHeight="1">
      <c r="A114" s="97">
        <v>113</v>
      </c>
      <c r="B114" s="101" t="s">
        <v>212</v>
      </c>
      <c r="C114" s="101">
        <v>46148</v>
      </c>
      <c r="D114" s="101">
        <v>46169</v>
      </c>
      <c r="E114" s="112" t="s">
        <v>426</v>
      </c>
      <c r="F114" s="98" t="s">
        <v>221</v>
      </c>
      <c r="G114" s="99" t="s">
        <v>144</v>
      </c>
      <c r="H114" s="100" t="s">
        <v>196</v>
      </c>
      <c r="I114" s="104" t="s">
        <v>203</v>
      </c>
      <c r="J114" s="102" t="s">
        <v>146</v>
      </c>
      <c r="K114" s="103">
        <v>7</v>
      </c>
      <c r="L114" s="104" t="s">
        <v>110</v>
      </c>
      <c r="M114" s="104" t="s">
        <v>147</v>
      </c>
      <c r="N114" s="104" t="s">
        <v>211</v>
      </c>
      <c r="O114" s="110">
        <v>370</v>
      </c>
      <c r="P114" s="110">
        <v>440</v>
      </c>
      <c r="Q114" s="114" t="s">
        <v>458</v>
      </c>
    </row>
    <row r="115" spans="1:17" ht="15" customHeight="1">
      <c r="A115" s="97">
        <v>114</v>
      </c>
      <c r="B115" s="101" t="s">
        <v>212</v>
      </c>
      <c r="C115" s="101">
        <v>46148</v>
      </c>
      <c r="D115" s="101">
        <v>46169</v>
      </c>
      <c r="E115" s="112" t="s">
        <v>427</v>
      </c>
      <c r="F115" s="98" t="s">
        <v>223</v>
      </c>
      <c r="G115" s="99" t="s">
        <v>144</v>
      </c>
      <c r="H115" s="100" t="s">
        <v>197</v>
      </c>
      <c r="I115" s="104" t="s">
        <v>204</v>
      </c>
      <c r="J115" s="102" t="s">
        <v>146</v>
      </c>
      <c r="K115" s="103">
        <v>7</v>
      </c>
      <c r="L115" s="104" t="s">
        <v>110</v>
      </c>
      <c r="M115" s="104" t="s">
        <v>147</v>
      </c>
      <c r="N115" s="104" t="s">
        <v>211</v>
      </c>
      <c r="O115" s="110">
        <v>370</v>
      </c>
      <c r="P115" s="110">
        <v>440</v>
      </c>
      <c r="Q115" s="114" t="s">
        <v>458</v>
      </c>
    </row>
    <row r="116" spans="1:17" ht="15" customHeight="1">
      <c r="A116" s="97">
        <v>115</v>
      </c>
      <c r="B116" s="101" t="s">
        <v>212</v>
      </c>
      <c r="C116" s="101">
        <v>46148</v>
      </c>
      <c r="D116" s="101">
        <v>46169</v>
      </c>
      <c r="E116" s="112" t="s">
        <v>428</v>
      </c>
      <c r="F116" s="98" t="s">
        <v>225</v>
      </c>
      <c r="G116" s="99" t="s">
        <v>144</v>
      </c>
      <c r="H116" s="100" t="s">
        <v>199</v>
      </c>
      <c r="I116" s="104" t="s">
        <v>206</v>
      </c>
      <c r="J116" s="102" t="s">
        <v>146</v>
      </c>
      <c r="K116" s="103">
        <v>7</v>
      </c>
      <c r="L116" s="104" t="s">
        <v>110</v>
      </c>
      <c r="M116" s="104" t="s">
        <v>147</v>
      </c>
      <c r="N116" s="104" t="s">
        <v>211</v>
      </c>
      <c r="O116" s="110">
        <v>370</v>
      </c>
      <c r="P116" s="110">
        <v>440</v>
      </c>
      <c r="Q116" s="114" t="s">
        <v>458</v>
      </c>
    </row>
    <row r="117" spans="1:17" ht="15" customHeight="1">
      <c r="A117" s="97">
        <v>116</v>
      </c>
      <c r="B117" s="101" t="s">
        <v>212</v>
      </c>
      <c r="C117" s="101">
        <v>46148</v>
      </c>
      <c r="D117" s="101">
        <v>46169</v>
      </c>
      <c r="E117" s="112" t="s">
        <v>429</v>
      </c>
      <c r="F117" s="98" t="s">
        <v>225</v>
      </c>
      <c r="G117" s="99" t="s">
        <v>144</v>
      </c>
      <c r="H117" s="100" t="s">
        <v>199</v>
      </c>
      <c r="I117" s="104" t="s">
        <v>206</v>
      </c>
      <c r="J117" s="102" t="s">
        <v>146</v>
      </c>
      <c r="K117" s="103">
        <v>7</v>
      </c>
      <c r="L117" s="104" t="s">
        <v>110</v>
      </c>
      <c r="M117" s="104" t="s">
        <v>147</v>
      </c>
      <c r="N117" s="104" t="s">
        <v>211</v>
      </c>
      <c r="O117" s="110">
        <v>370</v>
      </c>
      <c r="P117" s="110">
        <v>440</v>
      </c>
      <c r="Q117" s="114" t="s">
        <v>458</v>
      </c>
    </row>
    <row r="118" spans="1:17" ht="15" customHeight="1">
      <c r="A118" s="97">
        <v>117</v>
      </c>
      <c r="B118" s="101" t="s">
        <v>212</v>
      </c>
      <c r="C118" s="101">
        <v>46148</v>
      </c>
      <c r="D118" s="101">
        <v>46169</v>
      </c>
      <c r="E118" s="112" t="s">
        <v>430</v>
      </c>
      <c r="F118" s="98" t="s">
        <v>255</v>
      </c>
      <c r="G118" s="99" t="s">
        <v>144</v>
      </c>
      <c r="H118" s="100" t="s">
        <v>260</v>
      </c>
      <c r="I118" s="104" t="s">
        <v>265</v>
      </c>
      <c r="J118" s="102" t="s">
        <v>146</v>
      </c>
      <c r="K118" s="103">
        <v>14</v>
      </c>
      <c r="L118" s="104" t="s">
        <v>110</v>
      </c>
      <c r="M118" s="104" t="s">
        <v>147</v>
      </c>
      <c r="N118" s="104" t="s">
        <v>211</v>
      </c>
      <c r="O118" s="110">
        <v>40</v>
      </c>
      <c r="P118" s="110">
        <v>137</v>
      </c>
      <c r="Q118" s="114" t="s">
        <v>458</v>
      </c>
    </row>
    <row r="119" spans="1:17" ht="15" customHeight="1">
      <c r="A119" s="97">
        <v>118</v>
      </c>
      <c r="B119" s="101" t="s">
        <v>212</v>
      </c>
      <c r="C119" s="101">
        <v>46148</v>
      </c>
      <c r="D119" s="101">
        <v>46169</v>
      </c>
      <c r="E119" s="112" t="s">
        <v>431</v>
      </c>
      <c r="F119" s="98" t="s">
        <v>226</v>
      </c>
      <c r="G119" s="99" t="s">
        <v>144</v>
      </c>
      <c r="H119" s="100" t="s">
        <v>200</v>
      </c>
      <c r="I119" s="104" t="s">
        <v>266</v>
      </c>
      <c r="J119" s="102" t="s">
        <v>146</v>
      </c>
      <c r="K119" s="103">
        <v>14</v>
      </c>
      <c r="L119" s="104" t="s">
        <v>110</v>
      </c>
      <c r="M119" s="104" t="s">
        <v>147</v>
      </c>
      <c r="N119" s="104" t="s">
        <v>211</v>
      </c>
      <c r="O119" s="110">
        <v>40</v>
      </c>
      <c r="P119" s="110">
        <v>137</v>
      </c>
      <c r="Q119" s="114" t="s">
        <v>458</v>
      </c>
    </row>
    <row r="120" spans="1:17" ht="15" customHeight="1">
      <c r="A120" s="97">
        <v>119</v>
      </c>
      <c r="B120" s="101" t="s">
        <v>212</v>
      </c>
      <c r="C120" s="101">
        <v>46148</v>
      </c>
      <c r="D120" s="101">
        <v>46169</v>
      </c>
      <c r="E120" s="112" t="s">
        <v>433</v>
      </c>
      <c r="F120" s="98" t="s">
        <v>244</v>
      </c>
      <c r="G120" s="99" t="s">
        <v>144</v>
      </c>
      <c r="H120" s="100" t="s">
        <v>248</v>
      </c>
      <c r="I120" s="104" t="s">
        <v>267</v>
      </c>
      <c r="J120" s="102" t="s">
        <v>146</v>
      </c>
      <c r="K120" s="103">
        <v>14</v>
      </c>
      <c r="L120" s="104" t="s">
        <v>110</v>
      </c>
      <c r="M120" s="104" t="s">
        <v>147</v>
      </c>
      <c r="N120" s="104" t="s">
        <v>211</v>
      </c>
      <c r="O120" s="110">
        <v>40</v>
      </c>
      <c r="P120" s="110">
        <v>137</v>
      </c>
      <c r="Q120" s="114" t="s">
        <v>458</v>
      </c>
    </row>
    <row r="121" spans="1:17" ht="15" customHeight="1">
      <c r="A121" s="97">
        <v>120</v>
      </c>
      <c r="B121" s="101" t="s">
        <v>212</v>
      </c>
      <c r="C121" s="101">
        <v>46148</v>
      </c>
      <c r="D121" s="101">
        <v>46169</v>
      </c>
      <c r="E121" s="112" t="s">
        <v>432</v>
      </c>
      <c r="F121" s="98" t="s">
        <v>255</v>
      </c>
      <c r="G121" s="99" t="s">
        <v>144</v>
      </c>
      <c r="H121" s="100" t="s">
        <v>260</v>
      </c>
      <c r="I121" s="104" t="s">
        <v>265</v>
      </c>
      <c r="J121" s="102" t="s">
        <v>146</v>
      </c>
      <c r="K121" s="103">
        <v>14</v>
      </c>
      <c r="L121" s="104" t="s">
        <v>110</v>
      </c>
      <c r="M121" s="104" t="s">
        <v>147</v>
      </c>
      <c r="N121" s="104" t="s">
        <v>211</v>
      </c>
      <c r="O121" s="110">
        <v>40</v>
      </c>
      <c r="P121" s="110">
        <v>137</v>
      </c>
      <c r="Q121" s="114" t="s">
        <v>458</v>
      </c>
    </row>
    <row r="122" spans="1:17" ht="15" customHeight="1">
      <c r="A122" s="97">
        <v>121</v>
      </c>
      <c r="B122" s="101" t="s">
        <v>212</v>
      </c>
      <c r="C122" s="101">
        <v>46148</v>
      </c>
      <c r="D122" s="101">
        <v>46169</v>
      </c>
      <c r="E122" s="112" t="s">
        <v>434</v>
      </c>
      <c r="F122" s="98" t="s">
        <v>226</v>
      </c>
      <c r="G122" s="99" t="s">
        <v>144</v>
      </c>
      <c r="H122" s="100" t="s">
        <v>200</v>
      </c>
      <c r="I122" s="104" t="s">
        <v>266</v>
      </c>
      <c r="J122" s="102" t="s">
        <v>146</v>
      </c>
      <c r="K122" s="103">
        <v>14</v>
      </c>
      <c r="L122" s="104" t="s">
        <v>110</v>
      </c>
      <c r="M122" s="104" t="s">
        <v>147</v>
      </c>
      <c r="N122" s="104" t="s">
        <v>211</v>
      </c>
      <c r="O122" s="110">
        <v>40</v>
      </c>
      <c r="P122" s="110">
        <v>137</v>
      </c>
      <c r="Q122" s="114" t="s">
        <v>458</v>
      </c>
    </row>
    <row r="123" spans="1:17" ht="15" customHeight="1">
      <c r="A123" s="97">
        <v>122</v>
      </c>
      <c r="B123" s="101" t="s">
        <v>212</v>
      </c>
      <c r="C123" s="101">
        <v>46148</v>
      </c>
      <c r="D123" s="101">
        <v>46169</v>
      </c>
      <c r="E123" s="112" t="s">
        <v>435</v>
      </c>
      <c r="F123" s="98" t="s">
        <v>244</v>
      </c>
      <c r="G123" s="99" t="s">
        <v>144</v>
      </c>
      <c r="H123" s="100" t="s">
        <v>248</v>
      </c>
      <c r="I123" s="104" t="s">
        <v>267</v>
      </c>
      <c r="J123" s="102" t="s">
        <v>146</v>
      </c>
      <c r="K123" s="103">
        <v>14</v>
      </c>
      <c r="L123" s="104" t="s">
        <v>110</v>
      </c>
      <c r="M123" s="104" t="s">
        <v>147</v>
      </c>
      <c r="N123" s="104" t="s">
        <v>211</v>
      </c>
      <c r="O123" s="110">
        <v>370</v>
      </c>
      <c r="P123" s="110">
        <v>440</v>
      </c>
      <c r="Q123" s="114" t="s">
        <v>458</v>
      </c>
    </row>
    <row r="124" spans="1:17" ht="15" customHeight="1">
      <c r="A124" s="97">
        <v>123</v>
      </c>
      <c r="B124" s="101" t="s">
        <v>212</v>
      </c>
      <c r="C124" s="101">
        <v>46148</v>
      </c>
      <c r="D124" s="101">
        <v>46169</v>
      </c>
      <c r="E124" s="112" t="s">
        <v>436</v>
      </c>
      <c r="F124" s="98" t="s">
        <v>256</v>
      </c>
      <c r="G124" s="99" t="s">
        <v>144</v>
      </c>
      <c r="H124" s="100" t="s">
        <v>261</v>
      </c>
      <c r="I124" s="104" t="s">
        <v>268</v>
      </c>
      <c r="J124" s="102" t="s">
        <v>146</v>
      </c>
      <c r="K124" s="103">
        <v>14</v>
      </c>
      <c r="L124" s="104" t="s">
        <v>110</v>
      </c>
      <c r="M124" s="104" t="s">
        <v>147</v>
      </c>
      <c r="N124" s="104" t="s">
        <v>211</v>
      </c>
      <c r="O124" s="110">
        <v>370</v>
      </c>
      <c r="P124" s="110">
        <v>440</v>
      </c>
      <c r="Q124" s="114" t="s">
        <v>458</v>
      </c>
    </row>
    <row r="125" spans="1:17" ht="15" customHeight="1">
      <c r="A125" s="97">
        <v>124</v>
      </c>
      <c r="B125" s="101" t="s">
        <v>212</v>
      </c>
      <c r="C125" s="101">
        <v>46148</v>
      </c>
      <c r="D125" s="101">
        <v>46169</v>
      </c>
      <c r="E125" s="112" t="s">
        <v>437</v>
      </c>
      <c r="F125" s="98" t="s">
        <v>257</v>
      </c>
      <c r="G125" s="99" t="s">
        <v>144</v>
      </c>
      <c r="H125" s="100" t="s">
        <v>262</v>
      </c>
      <c r="I125" s="104" t="s">
        <v>269</v>
      </c>
      <c r="J125" s="102" t="s">
        <v>146</v>
      </c>
      <c r="K125" s="103">
        <v>14</v>
      </c>
      <c r="L125" s="104" t="s">
        <v>110</v>
      </c>
      <c r="M125" s="104" t="s">
        <v>147</v>
      </c>
      <c r="N125" s="104" t="s">
        <v>211</v>
      </c>
      <c r="O125" s="110">
        <v>370</v>
      </c>
      <c r="P125" s="110">
        <v>440</v>
      </c>
      <c r="Q125" s="114" t="s">
        <v>458</v>
      </c>
    </row>
    <row r="126" spans="1:17" ht="15" customHeight="1">
      <c r="A126" s="97">
        <v>125</v>
      </c>
      <c r="B126" s="101" t="s">
        <v>212</v>
      </c>
      <c r="C126" s="101">
        <v>46148</v>
      </c>
      <c r="D126" s="101">
        <v>46169</v>
      </c>
      <c r="E126" s="112" t="s">
        <v>438</v>
      </c>
      <c r="F126" s="98" t="s">
        <v>226</v>
      </c>
      <c r="G126" s="99" t="s">
        <v>144</v>
      </c>
      <c r="H126" s="100" t="s">
        <v>200</v>
      </c>
      <c r="I126" s="104" t="s">
        <v>266</v>
      </c>
      <c r="J126" s="102" t="s">
        <v>146</v>
      </c>
      <c r="K126" s="103">
        <v>14</v>
      </c>
      <c r="L126" s="104" t="s">
        <v>110</v>
      </c>
      <c r="M126" s="104" t="s">
        <v>147</v>
      </c>
      <c r="N126" s="104" t="s">
        <v>211</v>
      </c>
      <c r="O126" s="110">
        <v>370</v>
      </c>
      <c r="P126" s="110">
        <v>440</v>
      </c>
      <c r="Q126" s="114" t="s">
        <v>458</v>
      </c>
    </row>
    <row r="127" spans="1:17" ht="15" customHeight="1">
      <c r="A127" s="97">
        <v>126</v>
      </c>
      <c r="B127" s="101" t="s">
        <v>212</v>
      </c>
      <c r="C127" s="101">
        <v>46148</v>
      </c>
      <c r="D127" s="101">
        <v>46169</v>
      </c>
      <c r="E127" s="112" t="s">
        <v>439</v>
      </c>
      <c r="F127" s="98" t="s">
        <v>258</v>
      </c>
      <c r="G127" s="99" t="s">
        <v>144</v>
      </c>
      <c r="H127" s="100" t="s">
        <v>217</v>
      </c>
      <c r="I127" s="104" t="s">
        <v>214</v>
      </c>
      <c r="J127" s="102" t="s">
        <v>146</v>
      </c>
      <c r="K127" s="103">
        <v>14</v>
      </c>
      <c r="L127" s="104" t="s">
        <v>110</v>
      </c>
      <c r="M127" s="104" t="s">
        <v>147</v>
      </c>
      <c r="N127" s="104" t="s">
        <v>211</v>
      </c>
      <c r="O127" s="110">
        <v>370</v>
      </c>
      <c r="P127" s="110">
        <v>440</v>
      </c>
      <c r="Q127" s="114" t="s">
        <v>458</v>
      </c>
    </row>
    <row r="128" spans="1:17" ht="15" customHeight="1">
      <c r="A128" s="97">
        <v>127</v>
      </c>
      <c r="B128" s="101" t="s">
        <v>212</v>
      </c>
      <c r="C128" s="101">
        <v>46148</v>
      </c>
      <c r="D128" s="101">
        <v>46169</v>
      </c>
      <c r="E128" s="112" t="s">
        <v>440</v>
      </c>
      <c r="F128" s="98" t="s">
        <v>256</v>
      </c>
      <c r="G128" s="99" t="s">
        <v>144</v>
      </c>
      <c r="H128" s="100" t="s">
        <v>261</v>
      </c>
      <c r="I128" s="104" t="s">
        <v>268</v>
      </c>
      <c r="J128" s="102" t="s">
        <v>146</v>
      </c>
      <c r="K128" s="103">
        <v>14</v>
      </c>
      <c r="L128" s="104" t="s">
        <v>110</v>
      </c>
      <c r="M128" s="104" t="s">
        <v>147</v>
      </c>
      <c r="N128" s="104" t="s">
        <v>211</v>
      </c>
      <c r="O128" s="110">
        <v>370</v>
      </c>
      <c r="P128" s="110">
        <v>440</v>
      </c>
      <c r="Q128" s="114" t="s">
        <v>458</v>
      </c>
    </row>
    <row r="129" spans="1:17" ht="15" customHeight="1">
      <c r="A129" s="97">
        <v>128</v>
      </c>
      <c r="B129" s="101" t="s">
        <v>212</v>
      </c>
      <c r="C129" s="101">
        <v>46148</v>
      </c>
      <c r="D129" s="101">
        <v>46169</v>
      </c>
      <c r="E129" s="112" t="s">
        <v>441</v>
      </c>
      <c r="F129" s="98" t="s">
        <v>257</v>
      </c>
      <c r="G129" s="99" t="s">
        <v>144</v>
      </c>
      <c r="H129" s="100" t="s">
        <v>262</v>
      </c>
      <c r="I129" s="104" t="s">
        <v>269</v>
      </c>
      <c r="J129" s="102" t="s">
        <v>146</v>
      </c>
      <c r="K129" s="103">
        <v>14</v>
      </c>
      <c r="L129" s="104" t="s">
        <v>110</v>
      </c>
      <c r="M129" s="104" t="s">
        <v>147</v>
      </c>
      <c r="N129" s="104" t="s">
        <v>211</v>
      </c>
      <c r="O129" s="110">
        <v>370</v>
      </c>
      <c r="P129" s="110">
        <v>440</v>
      </c>
      <c r="Q129" s="114" t="s">
        <v>458</v>
      </c>
    </row>
    <row r="130" spans="1:17" ht="15" customHeight="1">
      <c r="A130" s="97">
        <v>129</v>
      </c>
      <c r="B130" s="101" t="s">
        <v>212</v>
      </c>
      <c r="C130" s="101">
        <v>46148</v>
      </c>
      <c r="D130" s="101">
        <v>46169</v>
      </c>
      <c r="E130" s="112" t="s">
        <v>442</v>
      </c>
      <c r="F130" s="98" t="s">
        <v>255</v>
      </c>
      <c r="G130" s="99" t="s">
        <v>144</v>
      </c>
      <c r="H130" s="100" t="s">
        <v>260</v>
      </c>
      <c r="I130" s="104" t="s">
        <v>265</v>
      </c>
      <c r="J130" s="102" t="s">
        <v>146</v>
      </c>
      <c r="K130" s="103">
        <v>14</v>
      </c>
      <c r="L130" s="104" t="s">
        <v>110</v>
      </c>
      <c r="M130" s="104" t="s">
        <v>147</v>
      </c>
      <c r="N130" s="104" t="s">
        <v>211</v>
      </c>
      <c r="O130" s="110">
        <v>370</v>
      </c>
      <c r="P130" s="110">
        <v>440</v>
      </c>
      <c r="Q130" s="114" t="s">
        <v>458</v>
      </c>
    </row>
    <row r="131" spans="1:17" ht="15" customHeight="1">
      <c r="A131" s="97">
        <v>130</v>
      </c>
      <c r="B131" s="101" t="s">
        <v>212</v>
      </c>
      <c r="C131" s="101">
        <v>46148</v>
      </c>
      <c r="D131" s="101">
        <v>46169</v>
      </c>
      <c r="E131" s="112" t="s">
        <v>443</v>
      </c>
      <c r="F131" s="98" t="s">
        <v>253</v>
      </c>
      <c r="G131" s="99" t="s">
        <v>144</v>
      </c>
      <c r="H131" s="100" t="s">
        <v>263</v>
      </c>
      <c r="I131" s="104" t="s">
        <v>270</v>
      </c>
      <c r="J131" s="102" t="s">
        <v>146</v>
      </c>
      <c r="K131" s="103">
        <v>14</v>
      </c>
      <c r="L131" s="104" t="s">
        <v>110</v>
      </c>
      <c r="M131" s="104" t="s">
        <v>147</v>
      </c>
      <c r="N131" s="104" t="s">
        <v>211</v>
      </c>
      <c r="O131" s="110">
        <v>370</v>
      </c>
      <c r="P131" s="110">
        <v>440</v>
      </c>
      <c r="Q131" s="114" t="s">
        <v>458</v>
      </c>
    </row>
    <row r="132" spans="1:17" ht="15" customHeight="1">
      <c r="A132" s="97">
        <v>131</v>
      </c>
      <c r="B132" s="101" t="s">
        <v>212</v>
      </c>
      <c r="C132" s="101">
        <v>46148</v>
      </c>
      <c r="D132" s="101">
        <v>46169</v>
      </c>
      <c r="E132" s="112" t="s">
        <v>444</v>
      </c>
      <c r="F132" s="98" t="s">
        <v>244</v>
      </c>
      <c r="G132" s="99" t="s">
        <v>144</v>
      </c>
      <c r="H132" s="100" t="s">
        <v>248</v>
      </c>
      <c r="I132" s="104" t="s">
        <v>267</v>
      </c>
      <c r="J132" s="102" t="s">
        <v>146</v>
      </c>
      <c r="K132" s="103">
        <v>14</v>
      </c>
      <c r="L132" s="104" t="s">
        <v>110</v>
      </c>
      <c r="M132" s="104" t="s">
        <v>147</v>
      </c>
      <c r="N132" s="104" t="s">
        <v>211</v>
      </c>
      <c r="O132" s="110">
        <v>370</v>
      </c>
      <c r="P132" s="110">
        <v>440</v>
      </c>
      <c r="Q132" s="114" t="s">
        <v>458</v>
      </c>
    </row>
    <row r="133" spans="1:17" ht="15" customHeight="1">
      <c r="A133" s="97">
        <v>132</v>
      </c>
      <c r="B133" s="101" t="s">
        <v>212</v>
      </c>
      <c r="C133" s="101">
        <v>46148</v>
      </c>
      <c r="D133" s="101">
        <v>46170</v>
      </c>
      <c r="E133" s="112" t="s">
        <v>451</v>
      </c>
      <c r="F133" s="98" t="s">
        <v>222</v>
      </c>
      <c r="G133" s="99" t="s">
        <v>144</v>
      </c>
      <c r="H133" s="100" t="s">
        <v>142</v>
      </c>
      <c r="I133" s="104" t="s">
        <v>215</v>
      </c>
      <c r="J133" s="102" t="s">
        <v>146</v>
      </c>
      <c r="K133" s="103">
        <v>7</v>
      </c>
      <c r="L133" s="104" t="s">
        <v>110</v>
      </c>
      <c r="M133" s="104" t="s">
        <v>147</v>
      </c>
      <c r="N133" s="104" t="s">
        <v>211</v>
      </c>
      <c r="O133" s="110">
        <v>370</v>
      </c>
      <c r="P133" s="110">
        <v>440</v>
      </c>
      <c r="Q133" s="114" t="s">
        <v>458</v>
      </c>
    </row>
    <row r="134" spans="1:17" ht="15" customHeight="1">
      <c r="A134" s="97">
        <v>133</v>
      </c>
      <c r="B134" s="101" t="s">
        <v>212</v>
      </c>
      <c r="C134" s="101">
        <v>46148</v>
      </c>
      <c r="D134" s="101">
        <v>46170</v>
      </c>
      <c r="E134" s="112" t="s">
        <v>450</v>
      </c>
      <c r="F134" s="98" t="s">
        <v>223</v>
      </c>
      <c r="G134" s="99" t="s">
        <v>144</v>
      </c>
      <c r="H134" s="100" t="s">
        <v>197</v>
      </c>
      <c r="I134" s="104" t="s">
        <v>287</v>
      </c>
      <c r="J134" s="102" t="s">
        <v>146</v>
      </c>
      <c r="K134" s="103">
        <v>7</v>
      </c>
      <c r="L134" s="104" t="s">
        <v>110</v>
      </c>
      <c r="M134" s="104" t="s">
        <v>147</v>
      </c>
      <c r="N134" s="104" t="s">
        <v>211</v>
      </c>
      <c r="O134" s="110">
        <v>40</v>
      </c>
      <c r="P134" s="110">
        <v>137</v>
      </c>
      <c r="Q134" s="114" t="s">
        <v>458</v>
      </c>
    </row>
    <row r="135" spans="1:17" ht="15" customHeight="1">
      <c r="A135" s="97">
        <v>134</v>
      </c>
      <c r="B135" s="101" t="s">
        <v>212</v>
      </c>
      <c r="C135" s="101">
        <v>46148</v>
      </c>
      <c r="D135" s="101">
        <v>46170</v>
      </c>
      <c r="E135" s="112" t="s">
        <v>449</v>
      </c>
      <c r="F135" s="98" t="s">
        <v>285</v>
      </c>
      <c r="G135" s="99" t="s">
        <v>144</v>
      </c>
      <c r="H135" s="100" t="s">
        <v>196</v>
      </c>
      <c r="I135" s="104" t="s">
        <v>203</v>
      </c>
      <c r="J135" s="102" t="s">
        <v>146</v>
      </c>
      <c r="K135" s="103">
        <v>7</v>
      </c>
      <c r="L135" s="104" t="s">
        <v>110</v>
      </c>
      <c r="M135" s="104" t="s">
        <v>147</v>
      </c>
      <c r="N135" s="104" t="s">
        <v>211</v>
      </c>
      <c r="O135" s="110">
        <v>40</v>
      </c>
      <c r="P135" s="110">
        <v>137</v>
      </c>
      <c r="Q135" s="114" t="s">
        <v>458</v>
      </c>
    </row>
    <row r="136" spans="1:17" ht="15" customHeight="1">
      <c r="A136" s="97">
        <v>135</v>
      </c>
      <c r="B136" s="101" t="s">
        <v>212</v>
      </c>
      <c r="C136" s="101">
        <v>46148</v>
      </c>
      <c r="D136" s="101">
        <v>46170</v>
      </c>
      <c r="E136" s="112" t="s">
        <v>448</v>
      </c>
      <c r="F136" s="98" t="s">
        <v>284</v>
      </c>
      <c r="G136" s="99" t="s">
        <v>144</v>
      </c>
      <c r="H136" s="100" t="s">
        <v>247</v>
      </c>
      <c r="I136" s="104" t="s">
        <v>272</v>
      </c>
      <c r="J136" s="102" t="s">
        <v>146</v>
      </c>
      <c r="K136" s="103">
        <v>14</v>
      </c>
      <c r="L136" s="104" t="s">
        <v>110</v>
      </c>
      <c r="M136" s="104" t="s">
        <v>147</v>
      </c>
      <c r="N136" s="104" t="s">
        <v>211</v>
      </c>
      <c r="O136" s="110">
        <v>370</v>
      </c>
      <c r="P136" s="110">
        <v>440</v>
      </c>
      <c r="Q136" s="114" t="s">
        <v>458</v>
      </c>
    </row>
    <row r="137" spans="1:17" ht="15" customHeight="1">
      <c r="A137" s="97">
        <v>136</v>
      </c>
      <c r="B137" s="101" t="s">
        <v>212</v>
      </c>
      <c r="C137" s="101">
        <v>46148</v>
      </c>
      <c r="D137" s="101">
        <v>46170</v>
      </c>
      <c r="E137" s="112" t="s">
        <v>447</v>
      </c>
      <c r="F137" s="98" t="s">
        <v>244</v>
      </c>
      <c r="G137" s="99" t="s">
        <v>144</v>
      </c>
      <c r="H137" s="100" t="s">
        <v>248</v>
      </c>
      <c r="I137" s="104" t="s">
        <v>267</v>
      </c>
      <c r="J137" s="102" t="s">
        <v>146</v>
      </c>
      <c r="K137" s="103">
        <v>14</v>
      </c>
      <c r="L137" s="104" t="s">
        <v>110</v>
      </c>
      <c r="M137" s="104" t="s">
        <v>147</v>
      </c>
      <c r="N137" s="104" t="s">
        <v>211</v>
      </c>
      <c r="O137" s="110">
        <v>370</v>
      </c>
      <c r="P137" s="110">
        <v>440</v>
      </c>
      <c r="Q137" s="114" t="s">
        <v>458</v>
      </c>
    </row>
    <row r="138" spans="1:17" ht="15" customHeight="1">
      <c r="A138" s="97">
        <v>137</v>
      </c>
      <c r="B138" s="101" t="s">
        <v>212</v>
      </c>
      <c r="C138" s="101">
        <v>46148</v>
      </c>
      <c r="D138" s="101">
        <v>46170</v>
      </c>
      <c r="E138" s="112" t="s">
        <v>446</v>
      </c>
      <c r="F138" s="98" t="s">
        <v>253</v>
      </c>
      <c r="G138" s="99" t="s">
        <v>144</v>
      </c>
      <c r="H138" s="100" t="s">
        <v>263</v>
      </c>
      <c r="I138" s="104" t="s">
        <v>270</v>
      </c>
      <c r="J138" s="102" t="s">
        <v>146</v>
      </c>
      <c r="K138" s="103">
        <v>14</v>
      </c>
      <c r="L138" s="104" t="s">
        <v>110</v>
      </c>
      <c r="M138" s="104" t="s">
        <v>147</v>
      </c>
      <c r="N138" s="104" t="s">
        <v>211</v>
      </c>
      <c r="O138" s="110">
        <v>40</v>
      </c>
      <c r="P138" s="110">
        <v>137</v>
      </c>
      <c r="Q138" s="114" t="s">
        <v>458</v>
      </c>
    </row>
    <row r="139" spans="1:17" ht="15" customHeight="1">
      <c r="A139" s="97">
        <v>138</v>
      </c>
      <c r="B139" s="101" t="s">
        <v>212</v>
      </c>
      <c r="C139" s="101">
        <v>46148</v>
      </c>
      <c r="D139" s="101">
        <v>46170</v>
      </c>
      <c r="E139" s="112" t="s">
        <v>445</v>
      </c>
      <c r="F139" s="98" t="s">
        <v>255</v>
      </c>
      <c r="G139" s="99" t="s">
        <v>144</v>
      </c>
      <c r="H139" s="100" t="s">
        <v>286</v>
      </c>
      <c r="I139" s="104" t="s">
        <v>288</v>
      </c>
      <c r="J139" s="102" t="s">
        <v>146</v>
      </c>
      <c r="K139" s="103">
        <v>14</v>
      </c>
      <c r="L139" s="104" t="s">
        <v>110</v>
      </c>
      <c r="M139" s="104" t="s">
        <v>147</v>
      </c>
      <c r="N139" s="104" t="s">
        <v>211</v>
      </c>
      <c r="O139" s="110">
        <v>40</v>
      </c>
      <c r="P139" s="110">
        <v>137</v>
      </c>
      <c r="Q139" s="114" t="s">
        <v>458</v>
      </c>
    </row>
    <row r="140" spans="1:17" ht="15" customHeight="1">
      <c r="A140" s="97">
        <v>139</v>
      </c>
      <c r="B140" s="101" t="s">
        <v>184</v>
      </c>
      <c r="C140" s="101">
        <v>46148</v>
      </c>
      <c r="D140" s="117">
        <v>46170</v>
      </c>
      <c r="E140" s="106">
        <v>115</v>
      </c>
      <c r="F140" s="98" t="s">
        <v>289</v>
      </c>
      <c r="G140" s="99" t="s">
        <v>144</v>
      </c>
      <c r="H140" s="100">
        <v>1</v>
      </c>
      <c r="I140" s="104" t="s">
        <v>290</v>
      </c>
      <c r="J140" s="102" t="s">
        <v>111</v>
      </c>
      <c r="K140" s="103">
        <v>30</v>
      </c>
      <c r="L140" s="104" t="s">
        <v>110</v>
      </c>
      <c r="M140" s="104" t="s">
        <v>139</v>
      </c>
      <c r="N140" s="104"/>
      <c r="O140" s="109"/>
      <c r="P140" s="109"/>
      <c r="Q140" s="105" t="s">
        <v>458</v>
      </c>
    </row>
    <row r="141" spans="1:17" ht="15" customHeight="1">
      <c r="A141" s="97">
        <v>140</v>
      </c>
      <c r="B141" s="101" t="s">
        <v>497</v>
      </c>
      <c r="C141" s="101">
        <v>46175</v>
      </c>
      <c r="D141" s="117">
        <v>46170</v>
      </c>
      <c r="E141" s="106" t="s">
        <v>293</v>
      </c>
      <c r="F141" s="98" t="s">
        <v>130</v>
      </c>
      <c r="G141" s="99" t="s">
        <v>101</v>
      </c>
      <c r="H141" s="100" t="s">
        <v>131</v>
      </c>
      <c r="I141" s="104" t="s">
        <v>132</v>
      </c>
      <c r="J141" s="102" t="s">
        <v>127</v>
      </c>
      <c r="K141" s="103">
        <v>30</v>
      </c>
      <c r="L141" s="104" t="s">
        <v>100</v>
      </c>
      <c r="M141" s="104" t="s">
        <v>139</v>
      </c>
      <c r="N141" s="104"/>
      <c r="O141" s="109"/>
      <c r="P141" s="109"/>
      <c r="Q141" s="114" t="s">
        <v>496</v>
      </c>
    </row>
    <row r="142" spans="1:17" ht="15" customHeight="1">
      <c r="A142" s="97">
        <v>141</v>
      </c>
      <c r="B142" s="101" t="s">
        <v>184</v>
      </c>
      <c r="C142" s="101">
        <v>46148</v>
      </c>
      <c r="D142" s="117">
        <v>46171</v>
      </c>
      <c r="E142" s="106">
        <v>178</v>
      </c>
      <c r="F142" s="98" t="s">
        <v>130</v>
      </c>
      <c r="G142" s="99" t="s">
        <v>101</v>
      </c>
      <c r="H142" s="100" t="s">
        <v>131</v>
      </c>
      <c r="I142" s="107" t="s">
        <v>132</v>
      </c>
      <c r="J142" s="102" t="s">
        <v>111</v>
      </c>
      <c r="K142" s="103">
        <v>30</v>
      </c>
      <c r="L142" s="104" t="s">
        <v>110</v>
      </c>
      <c r="M142" s="104" t="s">
        <v>139</v>
      </c>
      <c r="N142" s="104"/>
      <c r="O142" s="109"/>
      <c r="P142" s="109"/>
      <c r="Q142" s="105" t="s">
        <v>458</v>
      </c>
    </row>
    <row r="143" spans="1:17" ht="15" customHeight="1">
      <c r="A143" s="97">
        <v>142</v>
      </c>
      <c r="B143" s="101" t="s">
        <v>184</v>
      </c>
      <c r="C143" s="101">
        <v>46148</v>
      </c>
      <c r="D143" s="117">
        <v>46171</v>
      </c>
      <c r="E143" s="106">
        <v>123</v>
      </c>
      <c r="F143" s="98" t="s">
        <v>291</v>
      </c>
      <c r="G143" s="99" t="s">
        <v>144</v>
      </c>
      <c r="H143" s="100" t="s">
        <v>171</v>
      </c>
      <c r="I143" s="104" t="s">
        <v>292</v>
      </c>
      <c r="J143" s="102" t="s">
        <v>111</v>
      </c>
      <c r="K143" s="103">
        <v>30</v>
      </c>
      <c r="L143" s="104" t="s">
        <v>110</v>
      </c>
      <c r="M143" s="104" t="s">
        <v>139</v>
      </c>
      <c r="N143" s="104"/>
      <c r="O143" s="109"/>
      <c r="P143" s="109"/>
      <c r="Q143" s="105" t="s">
        <v>458</v>
      </c>
    </row>
    <row r="144" spans="1:17" ht="15" customHeight="1">
      <c r="A144" s="97">
        <v>143</v>
      </c>
      <c r="B144" s="101" t="s">
        <v>184</v>
      </c>
      <c r="C144" s="101">
        <v>46148</v>
      </c>
      <c r="D144" s="117">
        <v>46171</v>
      </c>
      <c r="E144" s="106">
        <v>179</v>
      </c>
      <c r="F144" s="98" t="s">
        <v>130</v>
      </c>
      <c r="G144" s="99" t="s">
        <v>101</v>
      </c>
      <c r="H144" s="100" t="s">
        <v>131</v>
      </c>
      <c r="I144" s="107" t="s">
        <v>132</v>
      </c>
      <c r="J144" s="102" t="s">
        <v>111</v>
      </c>
      <c r="K144" s="103">
        <v>30</v>
      </c>
      <c r="L144" s="104" t="s">
        <v>110</v>
      </c>
      <c r="M144" s="104" t="s">
        <v>139</v>
      </c>
      <c r="N144" s="104"/>
      <c r="O144" s="109"/>
      <c r="P144" s="109"/>
      <c r="Q144" s="105" t="s">
        <v>458</v>
      </c>
    </row>
    <row r="145" spans="1:17" ht="15" customHeight="1">
      <c r="A145" s="97">
        <v>144</v>
      </c>
      <c r="B145" s="101" t="s">
        <v>184</v>
      </c>
      <c r="C145" s="101">
        <v>46148</v>
      </c>
      <c r="D145" s="117">
        <v>46171</v>
      </c>
      <c r="E145" s="106">
        <v>112</v>
      </c>
      <c r="F145" s="98" t="s">
        <v>164</v>
      </c>
      <c r="G145" s="99" t="s">
        <v>144</v>
      </c>
      <c r="H145" s="100">
        <v>12</v>
      </c>
      <c r="I145" s="104" t="s">
        <v>281</v>
      </c>
      <c r="J145" s="102" t="s">
        <v>111</v>
      </c>
      <c r="K145" s="103">
        <v>30</v>
      </c>
      <c r="L145" s="104" t="s">
        <v>110</v>
      </c>
      <c r="M145" s="104" t="s">
        <v>139</v>
      </c>
      <c r="N145" s="104"/>
      <c r="O145" s="109"/>
      <c r="P145" s="109"/>
      <c r="Q145" s="105" t="s">
        <v>458</v>
      </c>
    </row>
    <row r="146" spans="1:17" ht="15" customHeight="1">
      <c r="A146" s="97">
        <v>145</v>
      </c>
      <c r="B146" s="101" t="s">
        <v>497</v>
      </c>
      <c r="C146" s="101">
        <v>46175</v>
      </c>
      <c r="D146" s="117">
        <v>46172</v>
      </c>
      <c r="E146" s="106" t="s">
        <v>295</v>
      </c>
      <c r="F146" s="98" t="s">
        <v>130</v>
      </c>
      <c r="G146" s="99" t="s">
        <v>101</v>
      </c>
      <c r="H146" s="100" t="s">
        <v>131</v>
      </c>
      <c r="I146" s="104" t="s">
        <v>132</v>
      </c>
      <c r="J146" s="102" t="s">
        <v>127</v>
      </c>
      <c r="K146" s="103">
        <v>30</v>
      </c>
      <c r="L146" s="104" t="s">
        <v>100</v>
      </c>
      <c r="M146" s="104" t="s">
        <v>139</v>
      </c>
      <c r="N146" s="104"/>
      <c r="O146" s="109"/>
      <c r="P146" s="109"/>
      <c r="Q146" s="114" t="s">
        <v>496</v>
      </c>
    </row>
    <row r="147" spans="1:17" ht="15" customHeight="1">
      <c r="A147" s="97">
        <v>146</v>
      </c>
      <c r="B147" s="101" t="s">
        <v>497</v>
      </c>
      <c r="C147" s="101">
        <v>46175</v>
      </c>
      <c r="D147" s="117">
        <v>46172</v>
      </c>
      <c r="E147" s="106" t="s">
        <v>294</v>
      </c>
      <c r="F147" s="98" t="s">
        <v>130</v>
      </c>
      <c r="G147" s="99" t="s">
        <v>101</v>
      </c>
      <c r="H147" s="100" t="s">
        <v>131</v>
      </c>
      <c r="I147" s="104" t="s">
        <v>132</v>
      </c>
      <c r="J147" s="102" t="s">
        <v>127</v>
      </c>
      <c r="K147" s="103">
        <v>30</v>
      </c>
      <c r="L147" s="104" t="s">
        <v>100</v>
      </c>
      <c r="M147" s="104" t="s">
        <v>139</v>
      </c>
      <c r="N147" s="104"/>
      <c r="O147" s="109"/>
      <c r="P147" s="109"/>
      <c r="Q147" s="114" t="s">
        <v>496</v>
      </c>
    </row>
    <row r="148" spans="1:17" ht="15" customHeight="1">
      <c r="A148" s="97">
        <v>147</v>
      </c>
      <c r="B148" s="101" t="s">
        <v>184</v>
      </c>
      <c r="C148" s="101">
        <v>46148</v>
      </c>
      <c r="D148" s="117">
        <v>46172</v>
      </c>
      <c r="E148" s="106">
        <v>3695</v>
      </c>
      <c r="F148" s="98" t="s">
        <v>258</v>
      </c>
      <c r="G148" s="99" t="s">
        <v>144</v>
      </c>
      <c r="H148" s="100" t="s">
        <v>217</v>
      </c>
      <c r="I148" s="104" t="s">
        <v>308</v>
      </c>
      <c r="J148" s="102" t="s">
        <v>315</v>
      </c>
      <c r="K148" s="103">
        <v>14</v>
      </c>
      <c r="L148" s="104" t="s">
        <v>110</v>
      </c>
      <c r="M148" s="104" t="s">
        <v>139</v>
      </c>
      <c r="N148" s="104"/>
      <c r="O148" s="109"/>
      <c r="P148" s="109"/>
      <c r="Q148" s="105" t="s">
        <v>458</v>
      </c>
    </row>
    <row r="149" spans="1:17" ht="15" customHeight="1">
      <c r="A149" s="97">
        <v>148</v>
      </c>
      <c r="B149" s="101" t="s">
        <v>184</v>
      </c>
      <c r="C149" s="101">
        <v>46148</v>
      </c>
      <c r="D149" s="117">
        <v>46172</v>
      </c>
      <c r="E149" s="106">
        <v>3694</v>
      </c>
      <c r="F149" s="98" t="s">
        <v>223</v>
      </c>
      <c r="G149" s="99" t="s">
        <v>144</v>
      </c>
      <c r="H149" s="100" t="s">
        <v>197</v>
      </c>
      <c r="I149" s="104" t="s">
        <v>188</v>
      </c>
      <c r="J149" s="102" t="s">
        <v>315</v>
      </c>
      <c r="K149" s="103">
        <v>7</v>
      </c>
      <c r="L149" s="104" t="s">
        <v>110</v>
      </c>
      <c r="M149" s="104" t="s">
        <v>139</v>
      </c>
      <c r="N149" s="104"/>
      <c r="O149" s="109"/>
      <c r="P149" s="109"/>
      <c r="Q149" s="105" t="s">
        <v>458</v>
      </c>
    </row>
    <row r="150" spans="1:17" ht="15" customHeight="1">
      <c r="A150" s="97">
        <v>149</v>
      </c>
      <c r="B150" s="101" t="s">
        <v>184</v>
      </c>
      <c r="C150" s="101">
        <v>46148</v>
      </c>
      <c r="D150" s="117">
        <v>46172</v>
      </c>
      <c r="E150" s="106">
        <v>3692</v>
      </c>
      <c r="F150" s="98" t="s">
        <v>225</v>
      </c>
      <c r="G150" s="99" t="s">
        <v>144</v>
      </c>
      <c r="H150" s="100" t="s">
        <v>201</v>
      </c>
      <c r="I150" s="104" t="s">
        <v>309</v>
      </c>
      <c r="J150" s="102" t="s">
        <v>315</v>
      </c>
      <c r="K150" s="103">
        <v>14</v>
      </c>
      <c r="L150" s="104" t="s">
        <v>110</v>
      </c>
      <c r="M150" s="104" t="s">
        <v>139</v>
      </c>
      <c r="N150" s="104"/>
      <c r="O150" s="109"/>
      <c r="P150" s="109"/>
      <c r="Q150" s="105" t="s">
        <v>458</v>
      </c>
    </row>
    <row r="151" spans="1:17" ht="15" customHeight="1">
      <c r="A151" s="97">
        <v>150</v>
      </c>
      <c r="B151" s="101" t="s">
        <v>184</v>
      </c>
      <c r="C151" s="101">
        <v>46148</v>
      </c>
      <c r="D151" s="117">
        <v>46172</v>
      </c>
      <c r="E151" s="106">
        <v>3691</v>
      </c>
      <c r="F151" s="98" t="s">
        <v>296</v>
      </c>
      <c r="G151" s="99" t="s">
        <v>144</v>
      </c>
      <c r="H151" s="100" t="s">
        <v>246</v>
      </c>
      <c r="I151" s="104" t="s">
        <v>274</v>
      </c>
      <c r="J151" s="102" t="s">
        <v>315</v>
      </c>
      <c r="K151" s="103">
        <v>14</v>
      </c>
      <c r="L151" s="104" t="s">
        <v>110</v>
      </c>
      <c r="M151" s="104" t="s">
        <v>139</v>
      </c>
      <c r="N151" s="104"/>
      <c r="O151" s="109"/>
      <c r="P151" s="109"/>
      <c r="Q151" s="105" t="s">
        <v>458</v>
      </c>
    </row>
    <row r="152" spans="1:17" ht="15" customHeight="1">
      <c r="A152" s="97">
        <v>151</v>
      </c>
      <c r="B152" s="101" t="s">
        <v>184</v>
      </c>
      <c r="C152" s="101">
        <v>46148</v>
      </c>
      <c r="D152" s="117">
        <v>46172</v>
      </c>
      <c r="E152" s="106">
        <v>3690</v>
      </c>
      <c r="F152" s="98" t="s">
        <v>297</v>
      </c>
      <c r="G152" s="99" t="s">
        <v>144</v>
      </c>
      <c r="H152" s="100" t="s">
        <v>249</v>
      </c>
      <c r="I152" s="104" t="s">
        <v>274</v>
      </c>
      <c r="J152" s="102" t="s">
        <v>315</v>
      </c>
      <c r="K152" s="103">
        <v>7</v>
      </c>
      <c r="L152" s="104" t="s">
        <v>110</v>
      </c>
      <c r="M152" s="104" t="s">
        <v>139</v>
      </c>
      <c r="N152" s="104"/>
      <c r="O152" s="109"/>
      <c r="P152" s="109"/>
      <c r="Q152" s="105" t="s">
        <v>458</v>
      </c>
    </row>
    <row r="153" spans="1:17" ht="15" customHeight="1">
      <c r="A153" s="97">
        <v>152</v>
      </c>
      <c r="B153" s="101" t="s">
        <v>184</v>
      </c>
      <c r="C153" s="101">
        <v>46148</v>
      </c>
      <c r="D153" s="117">
        <v>46172</v>
      </c>
      <c r="E153" s="106">
        <v>3687</v>
      </c>
      <c r="F153" s="98" t="s">
        <v>226</v>
      </c>
      <c r="G153" s="99" t="s">
        <v>144</v>
      </c>
      <c r="H153" s="100" t="s">
        <v>200</v>
      </c>
      <c r="I153" s="104" t="s">
        <v>194</v>
      </c>
      <c r="J153" s="102" t="s">
        <v>315</v>
      </c>
      <c r="K153" s="103">
        <v>14</v>
      </c>
      <c r="L153" s="104" t="s">
        <v>110</v>
      </c>
      <c r="M153" s="104" t="s">
        <v>139</v>
      </c>
      <c r="N153" s="104"/>
      <c r="O153" s="109"/>
      <c r="P153" s="109"/>
      <c r="Q153" s="105" t="s">
        <v>458</v>
      </c>
    </row>
    <row r="154" spans="1:17" ht="15" customHeight="1">
      <c r="A154" s="97">
        <v>153</v>
      </c>
      <c r="B154" s="101" t="s">
        <v>184</v>
      </c>
      <c r="C154" s="101">
        <v>46148</v>
      </c>
      <c r="D154" s="117">
        <v>46172</v>
      </c>
      <c r="E154" s="106">
        <v>3693</v>
      </c>
      <c r="F154" s="98" t="s">
        <v>298</v>
      </c>
      <c r="G154" s="99" t="s">
        <v>144</v>
      </c>
      <c r="H154" s="100" t="s">
        <v>199</v>
      </c>
      <c r="I154" s="104" t="s">
        <v>206</v>
      </c>
      <c r="J154" s="102" t="s">
        <v>315</v>
      </c>
      <c r="K154" s="103">
        <v>7</v>
      </c>
      <c r="L154" s="104" t="s">
        <v>110</v>
      </c>
      <c r="M154" s="104" t="s">
        <v>139</v>
      </c>
      <c r="N154" s="104"/>
      <c r="O154" s="109"/>
      <c r="P154" s="109"/>
      <c r="Q154" s="105" t="s">
        <v>458</v>
      </c>
    </row>
    <row r="155" spans="1:17" ht="15" customHeight="1">
      <c r="A155" s="97">
        <v>154</v>
      </c>
      <c r="B155" s="101" t="s">
        <v>184</v>
      </c>
      <c r="C155" s="101">
        <v>46148</v>
      </c>
      <c r="D155" s="117">
        <v>46172</v>
      </c>
      <c r="E155" s="106">
        <v>3686</v>
      </c>
      <c r="F155" s="98" t="s">
        <v>299</v>
      </c>
      <c r="G155" s="99" t="s">
        <v>144</v>
      </c>
      <c r="H155" s="100" t="s">
        <v>303</v>
      </c>
      <c r="I155" s="104" t="s">
        <v>310</v>
      </c>
      <c r="J155" s="102" t="s">
        <v>315</v>
      </c>
      <c r="K155" s="103">
        <v>14</v>
      </c>
      <c r="L155" s="104" t="s">
        <v>110</v>
      </c>
      <c r="M155" s="104" t="s">
        <v>139</v>
      </c>
      <c r="N155" s="104"/>
      <c r="O155" s="109"/>
      <c r="P155" s="109"/>
      <c r="Q155" s="105" t="s">
        <v>458</v>
      </c>
    </row>
    <row r="156" spans="1:17" ht="15" customHeight="1">
      <c r="A156" s="97">
        <v>155</v>
      </c>
      <c r="B156" s="101" t="s">
        <v>184</v>
      </c>
      <c r="C156" s="101">
        <v>46148</v>
      </c>
      <c r="D156" s="117">
        <v>46172</v>
      </c>
      <c r="E156" s="106">
        <v>3683</v>
      </c>
      <c r="F156" s="98" t="s">
        <v>300</v>
      </c>
      <c r="G156" s="99" t="s">
        <v>144</v>
      </c>
      <c r="H156" s="100" t="s">
        <v>304</v>
      </c>
      <c r="I156" s="104" t="s">
        <v>311</v>
      </c>
      <c r="J156" s="102" t="s">
        <v>315</v>
      </c>
      <c r="K156" s="103">
        <v>14</v>
      </c>
      <c r="L156" s="104" t="s">
        <v>110</v>
      </c>
      <c r="M156" s="104" t="s">
        <v>139</v>
      </c>
      <c r="N156" s="104"/>
      <c r="O156" s="109"/>
      <c r="P156" s="109"/>
      <c r="Q156" s="105" t="s">
        <v>458</v>
      </c>
    </row>
    <row r="157" spans="1:17" ht="15" customHeight="1">
      <c r="A157" s="97">
        <v>156</v>
      </c>
      <c r="B157" s="101" t="s">
        <v>184</v>
      </c>
      <c r="C157" s="101">
        <v>46148</v>
      </c>
      <c r="D157" s="117">
        <v>46172</v>
      </c>
      <c r="E157" s="106">
        <v>3697</v>
      </c>
      <c r="F157" s="98" t="s">
        <v>301</v>
      </c>
      <c r="G157" s="99" t="s">
        <v>144</v>
      </c>
      <c r="H157" s="100" t="s">
        <v>305</v>
      </c>
      <c r="I157" s="104" t="s">
        <v>312</v>
      </c>
      <c r="J157" s="102" t="s">
        <v>315</v>
      </c>
      <c r="K157" s="103">
        <v>7</v>
      </c>
      <c r="L157" s="104" t="s">
        <v>110</v>
      </c>
      <c r="M157" s="104" t="s">
        <v>139</v>
      </c>
      <c r="N157" s="104"/>
      <c r="O157" s="109"/>
      <c r="P157" s="109"/>
      <c r="Q157" s="105" t="s">
        <v>458</v>
      </c>
    </row>
    <row r="158" spans="1:17" ht="15" customHeight="1">
      <c r="A158" s="97">
        <v>157</v>
      </c>
      <c r="B158" s="101" t="s">
        <v>184</v>
      </c>
      <c r="C158" s="101">
        <v>46148</v>
      </c>
      <c r="D158" s="117">
        <v>46172</v>
      </c>
      <c r="E158" s="106">
        <v>3689</v>
      </c>
      <c r="F158" s="98" t="s">
        <v>321</v>
      </c>
      <c r="G158" s="99" t="s">
        <v>144</v>
      </c>
      <c r="H158" s="100" t="s">
        <v>306</v>
      </c>
      <c r="I158" s="104" t="s">
        <v>313</v>
      </c>
      <c r="J158" s="102" t="s">
        <v>315</v>
      </c>
      <c r="K158" s="103">
        <v>14</v>
      </c>
      <c r="L158" s="104" t="s">
        <v>110</v>
      </c>
      <c r="M158" s="104" t="s">
        <v>139</v>
      </c>
      <c r="N158" s="104"/>
      <c r="O158" s="109"/>
      <c r="P158" s="109"/>
      <c r="Q158" s="105" t="s">
        <v>458</v>
      </c>
    </row>
    <row r="159" spans="1:17" ht="15" customHeight="1">
      <c r="A159" s="97">
        <v>158</v>
      </c>
      <c r="B159" s="101" t="s">
        <v>184</v>
      </c>
      <c r="C159" s="101">
        <v>46148</v>
      </c>
      <c r="D159" s="117">
        <v>46172</v>
      </c>
      <c r="E159" s="106">
        <v>3696</v>
      </c>
      <c r="F159" s="98" t="s">
        <v>302</v>
      </c>
      <c r="G159" s="99" t="s">
        <v>144</v>
      </c>
      <c r="H159" s="100" t="s">
        <v>307</v>
      </c>
      <c r="I159" s="104" t="s">
        <v>314</v>
      </c>
      <c r="J159" s="102" t="s">
        <v>315</v>
      </c>
      <c r="K159" s="103">
        <v>14</v>
      </c>
      <c r="L159" s="104" t="s">
        <v>110</v>
      </c>
      <c r="M159" s="104" t="s">
        <v>139</v>
      </c>
      <c r="N159" s="104"/>
      <c r="O159" s="109"/>
      <c r="P159" s="109"/>
      <c r="Q159" s="105" t="s">
        <v>458</v>
      </c>
    </row>
    <row r="160" spans="1:17" ht="15" customHeight="1">
      <c r="A160" s="97">
        <v>159</v>
      </c>
      <c r="B160" s="101" t="s">
        <v>212</v>
      </c>
      <c r="C160" s="101">
        <v>46148</v>
      </c>
      <c r="D160" s="101">
        <v>46172</v>
      </c>
      <c r="E160" s="113">
        <v>3695</v>
      </c>
      <c r="F160" s="98" t="s">
        <v>258</v>
      </c>
      <c r="G160" s="99" t="s">
        <v>144</v>
      </c>
      <c r="H160" s="100" t="s">
        <v>217</v>
      </c>
      <c r="I160" s="104" t="s">
        <v>308</v>
      </c>
      <c r="J160" s="102" t="s">
        <v>146</v>
      </c>
      <c r="K160" s="103">
        <v>14</v>
      </c>
      <c r="L160" s="104" t="s">
        <v>110</v>
      </c>
      <c r="M160" s="104" t="s">
        <v>147</v>
      </c>
      <c r="N160" s="104" t="s">
        <v>211</v>
      </c>
      <c r="O160" s="110">
        <v>40</v>
      </c>
      <c r="P160" s="110">
        <v>137</v>
      </c>
      <c r="Q160" s="114" t="s">
        <v>458</v>
      </c>
    </row>
    <row r="161" spans="1:17" ht="15" customHeight="1">
      <c r="A161" s="97">
        <v>160</v>
      </c>
      <c r="B161" s="101" t="s">
        <v>212</v>
      </c>
      <c r="C161" s="101">
        <v>46148</v>
      </c>
      <c r="D161" s="101">
        <v>46172</v>
      </c>
      <c r="E161" s="113">
        <v>3694</v>
      </c>
      <c r="F161" s="98" t="s">
        <v>223</v>
      </c>
      <c r="G161" s="99" t="s">
        <v>144</v>
      </c>
      <c r="H161" s="100" t="s">
        <v>197</v>
      </c>
      <c r="I161" s="104" t="s">
        <v>188</v>
      </c>
      <c r="J161" s="102" t="s">
        <v>146</v>
      </c>
      <c r="K161" s="103">
        <v>7</v>
      </c>
      <c r="L161" s="104" t="s">
        <v>110</v>
      </c>
      <c r="M161" s="104" t="s">
        <v>147</v>
      </c>
      <c r="N161" s="104" t="s">
        <v>211</v>
      </c>
      <c r="O161" s="110">
        <v>40</v>
      </c>
      <c r="P161" s="110">
        <v>137</v>
      </c>
      <c r="Q161" s="114" t="s">
        <v>458</v>
      </c>
    </row>
    <row r="162" spans="1:17" ht="15" customHeight="1">
      <c r="A162" s="97">
        <v>161</v>
      </c>
      <c r="B162" s="101" t="s">
        <v>212</v>
      </c>
      <c r="C162" s="101">
        <v>46148</v>
      </c>
      <c r="D162" s="101">
        <v>46172</v>
      </c>
      <c r="E162" s="113">
        <v>3692</v>
      </c>
      <c r="F162" s="98" t="s">
        <v>225</v>
      </c>
      <c r="G162" s="99" t="s">
        <v>144</v>
      </c>
      <c r="H162" s="100" t="s">
        <v>201</v>
      </c>
      <c r="I162" s="104" t="s">
        <v>309</v>
      </c>
      <c r="J162" s="102" t="s">
        <v>146</v>
      </c>
      <c r="K162" s="103">
        <v>14</v>
      </c>
      <c r="L162" s="104" t="s">
        <v>110</v>
      </c>
      <c r="M162" s="104" t="s">
        <v>147</v>
      </c>
      <c r="N162" s="104" t="s">
        <v>211</v>
      </c>
      <c r="O162" s="110">
        <v>40</v>
      </c>
      <c r="P162" s="110">
        <v>137</v>
      </c>
      <c r="Q162" s="114" t="s">
        <v>458</v>
      </c>
    </row>
    <row r="163" spans="1:17" ht="15" customHeight="1">
      <c r="A163" s="97">
        <v>162</v>
      </c>
      <c r="B163" s="101" t="s">
        <v>212</v>
      </c>
      <c r="C163" s="101">
        <v>46148</v>
      </c>
      <c r="D163" s="101">
        <v>46172</v>
      </c>
      <c r="E163" s="113">
        <v>3691</v>
      </c>
      <c r="F163" s="98" t="s">
        <v>296</v>
      </c>
      <c r="G163" s="99" t="s">
        <v>144</v>
      </c>
      <c r="H163" s="100" t="s">
        <v>246</v>
      </c>
      <c r="I163" s="104" t="s">
        <v>274</v>
      </c>
      <c r="J163" s="102" t="s">
        <v>146</v>
      </c>
      <c r="K163" s="103">
        <v>14</v>
      </c>
      <c r="L163" s="104" t="s">
        <v>110</v>
      </c>
      <c r="M163" s="104" t="s">
        <v>147</v>
      </c>
      <c r="N163" s="104" t="s">
        <v>211</v>
      </c>
      <c r="O163" s="110">
        <v>40</v>
      </c>
      <c r="P163" s="110">
        <v>137</v>
      </c>
      <c r="Q163" s="114" t="s">
        <v>458</v>
      </c>
    </row>
    <row r="164" spans="1:17" ht="15" customHeight="1">
      <c r="A164" s="97">
        <v>163</v>
      </c>
      <c r="B164" s="101" t="s">
        <v>212</v>
      </c>
      <c r="C164" s="101">
        <v>46148</v>
      </c>
      <c r="D164" s="101">
        <v>46172</v>
      </c>
      <c r="E164" s="113">
        <v>3690</v>
      </c>
      <c r="F164" s="98" t="s">
        <v>297</v>
      </c>
      <c r="G164" s="99" t="s">
        <v>144</v>
      </c>
      <c r="H164" s="100" t="s">
        <v>249</v>
      </c>
      <c r="I164" s="104" t="s">
        <v>274</v>
      </c>
      <c r="J164" s="102" t="s">
        <v>146</v>
      </c>
      <c r="K164" s="103">
        <v>7</v>
      </c>
      <c r="L164" s="104" t="s">
        <v>110</v>
      </c>
      <c r="M164" s="104" t="s">
        <v>147</v>
      </c>
      <c r="N164" s="104" t="s">
        <v>211</v>
      </c>
      <c r="O164" s="110">
        <v>40</v>
      </c>
      <c r="P164" s="110">
        <v>137</v>
      </c>
      <c r="Q164" s="114" t="s">
        <v>458</v>
      </c>
    </row>
    <row r="165" spans="1:17" ht="15" customHeight="1">
      <c r="A165" s="97">
        <v>164</v>
      </c>
      <c r="B165" s="101" t="s">
        <v>212</v>
      </c>
      <c r="C165" s="101">
        <v>46148</v>
      </c>
      <c r="D165" s="101">
        <v>46172</v>
      </c>
      <c r="E165" s="113">
        <v>3687</v>
      </c>
      <c r="F165" s="98" t="s">
        <v>226</v>
      </c>
      <c r="G165" s="99" t="s">
        <v>144</v>
      </c>
      <c r="H165" s="100" t="s">
        <v>200</v>
      </c>
      <c r="I165" s="104" t="s">
        <v>194</v>
      </c>
      <c r="J165" s="102" t="s">
        <v>146</v>
      </c>
      <c r="K165" s="103">
        <v>14</v>
      </c>
      <c r="L165" s="104" t="s">
        <v>110</v>
      </c>
      <c r="M165" s="104" t="s">
        <v>147</v>
      </c>
      <c r="N165" s="104" t="s">
        <v>211</v>
      </c>
      <c r="O165" s="110">
        <v>40</v>
      </c>
      <c r="P165" s="110">
        <v>137</v>
      </c>
      <c r="Q165" s="114" t="s">
        <v>458</v>
      </c>
    </row>
    <row r="166" spans="1:17" ht="15" customHeight="1">
      <c r="A166" s="97">
        <v>165</v>
      </c>
      <c r="B166" s="101" t="s">
        <v>212</v>
      </c>
      <c r="C166" s="101">
        <v>46148</v>
      </c>
      <c r="D166" s="101">
        <v>46172</v>
      </c>
      <c r="E166" s="113">
        <v>3693</v>
      </c>
      <c r="F166" s="98" t="s">
        <v>298</v>
      </c>
      <c r="G166" s="99" t="s">
        <v>144</v>
      </c>
      <c r="H166" s="100" t="s">
        <v>199</v>
      </c>
      <c r="I166" s="104" t="s">
        <v>206</v>
      </c>
      <c r="J166" s="102" t="s">
        <v>146</v>
      </c>
      <c r="K166" s="103">
        <v>7</v>
      </c>
      <c r="L166" s="104" t="s">
        <v>110</v>
      </c>
      <c r="M166" s="104" t="s">
        <v>147</v>
      </c>
      <c r="N166" s="104" t="s">
        <v>211</v>
      </c>
      <c r="O166" s="110">
        <v>40</v>
      </c>
      <c r="P166" s="110">
        <v>137</v>
      </c>
      <c r="Q166" s="114" t="s">
        <v>458</v>
      </c>
    </row>
    <row r="167" spans="1:17" ht="15" customHeight="1">
      <c r="A167" s="97">
        <v>166</v>
      </c>
      <c r="B167" s="101" t="s">
        <v>212</v>
      </c>
      <c r="C167" s="101">
        <v>46148</v>
      </c>
      <c r="D167" s="101">
        <v>46172</v>
      </c>
      <c r="E167" s="113">
        <v>3686</v>
      </c>
      <c r="F167" s="98" t="s">
        <v>299</v>
      </c>
      <c r="G167" s="99" t="s">
        <v>144</v>
      </c>
      <c r="H167" s="100" t="s">
        <v>303</v>
      </c>
      <c r="I167" s="104" t="s">
        <v>310</v>
      </c>
      <c r="J167" s="102" t="s">
        <v>146</v>
      </c>
      <c r="K167" s="103">
        <v>14</v>
      </c>
      <c r="L167" s="104" t="s">
        <v>110</v>
      </c>
      <c r="M167" s="104" t="s">
        <v>147</v>
      </c>
      <c r="N167" s="104" t="s">
        <v>211</v>
      </c>
      <c r="O167" s="110">
        <v>40</v>
      </c>
      <c r="P167" s="110">
        <v>137</v>
      </c>
      <c r="Q167" s="114" t="s">
        <v>458</v>
      </c>
    </row>
    <row r="168" spans="1:17" ht="15" customHeight="1">
      <c r="A168" s="97">
        <v>167</v>
      </c>
      <c r="B168" s="101" t="s">
        <v>212</v>
      </c>
      <c r="C168" s="101">
        <v>46148</v>
      </c>
      <c r="D168" s="101">
        <v>46172</v>
      </c>
      <c r="E168" s="113">
        <v>3683</v>
      </c>
      <c r="F168" s="98" t="s">
        <v>300</v>
      </c>
      <c r="G168" s="99" t="s">
        <v>144</v>
      </c>
      <c r="H168" s="100" t="s">
        <v>304</v>
      </c>
      <c r="I168" s="104" t="s">
        <v>311</v>
      </c>
      <c r="J168" s="102" t="s">
        <v>146</v>
      </c>
      <c r="K168" s="103">
        <v>14</v>
      </c>
      <c r="L168" s="104" t="s">
        <v>110</v>
      </c>
      <c r="M168" s="104" t="s">
        <v>147</v>
      </c>
      <c r="N168" s="104" t="s">
        <v>211</v>
      </c>
      <c r="O168" s="110">
        <v>40</v>
      </c>
      <c r="P168" s="110">
        <v>137</v>
      </c>
      <c r="Q168" s="114" t="s">
        <v>458</v>
      </c>
    </row>
    <row r="169" spans="1:17" ht="15" customHeight="1">
      <c r="A169" s="97">
        <v>168</v>
      </c>
      <c r="B169" s="101" t="s">
        <v>212</v>
      </c>
      <c r="C169" s="101">
        <v>46148</v>
      </c>
      <c r="D169" s="101">
        <v>46172</v>
      </c>
      <c r="E169" s="113">
        <v>3697</v>
      </c>
      <c r="F169" s="98" t="s">
        <v>301</v>
      </c>
      <c r="G169" s="99" t="s">
        <v>144</v>
      </c>
      <c r="H169" s="100" t="s">
        <v>305</v>
      </c>
      <c r="I169" s="104" t="s">
        <v>312</v>
      </c>
      <c r="J169" s="102" t="s">
        <v>146</v>
      </c>
      <c r="K169" s="103">
        <v>7</v>
      </c>
      <c r="L169" s="104" t="s">
        <v>110</v>
      </c>
      <c r="M169" s="104" t="s">
        <v>147</v>
      </c>
      <c r="N169" s="104" t="s">
        <v>211</v>
      </c>
      <c r="O169" s="110">
        <v>370</v>
      </c>
      <c r="P169" s="110">
        <v>440</v>
      </c>
      <c r="Q169" s="114" t="s">
        <v>458</v>
      </c>
    </row>
    <row r="170" spans="1:17" ht="15" customHeight="1">
      <c r="A170" s="97">
        <v>169</v>
      </c>
      <c r="B170" s="101" t="s">
        <v>212</v>
      </c>
      <c r="C170" s="101">
        <v>46148</v>
      </c>
      <c r="D170" s="101">
        <v>46172</v>
      </c>
      <c r="E170" s="113">
        <v>3689</v>
      </c>
      <c r="F170" s="98" t="s">
        <v>321</v>
      </c>
      <c r="G170" s="99" t="s">
        <v>144</v>
      </c>
      <c r="H170" s="100" t="s">
        <v>306</v>
      </c>
      <c r="I170" s="104" t="s">
        <v>313</v>
      </c>
      <c r="J170" s="102" t="s">
        <v>146</v>
      </c>
      <c r="K170" s="103">
        <v>14</v>
      </c>
      <c r="L170" s="104" t="s">
        <v>110</v>
      </c>
      <c r="M170" s="104" t="s">
        <v>147</v>
      </c>
      <c r="N170" s="104" t="s">
        <v>211</v>
      </c>
      <c r="O170" s="110">
        <v>40</v>
      </c>
      <c r="P170" s="110">
        <v>137</v>
      </c>
      <c r="Q170" s="114" t="s">
        <v>458</v>
      </c>
    </row>
    <row r="171" spans="1:17" ht="15" customHeight="1">
      <c r="A171" s="97">
        <v>170</v>
      </c>
      <c r="B171" s="101" t="s">
        <v>212</v>
      </c>
      <c r="C171" s="101">
        <v>46148</v>
      </c>
      <c r="D171" s="101">
        <v>46172</v>
      </c>
      <c r="E171" s="113">
        <v>3696</v>
      </c>
      <c r="F171" s="98" t="s">
        <v>302</v>
      </c>
      <c r="G171" s="99" t="s">
        <v>144</v>
      </c>
      <c r="H171" s="100" t="s">
        <v>307</v>
      </c>
      <c r="I171" s="104" t="s">
        <v>314</v>
      </c>
      <c r="J171" s="102" t="s">
        <v>146</v>
      </c>
      <c r="K171" s="103">
        <v>14</v>
      </c>
      <c r="L171" s="104" t="s">
        <v>110</v>
      </c>
      <c r="M171" s="104" t="s">
        <v>147</v>
      </c>
      <c r="N171" s="104" t="s">
        <v>211</v>
      </c>
      <c r="O171" s="110">
        <v>370</v>
      </c>
      <c r="P171" s="110">
        <v>440</v>
      </c>
      <c r="Q171" s="114" t="s">
        <v>458</v>
      </c>
    </row>
    <row r="172" spans="1:17" ht="15" customHeight="1">
      <c r="A172" s="97">
        <v>171</v>
      </c>
      <c r="B172" s="101" t="s">
        <v>184</v>
      </c>
      <c r="C172" s="101">
        <v>46148</v>
      </c>
      <c r="D172" s="117">
        <v>46174</v>
      </c>
      <c r="E172" s="106">
        <v>135</v>
      </c>
      <c r="F172" s="98" t="s">
        <v>189</v>
      </c>
      <c r="G172" s="99" t="s">
        <v>144</v>
      </c>
      <c r="H172" s="100">
        <v>33</v>
      </c>
      <c r="I172" s="104" t="s">
        <v>194</v>
      </c>
      <c r="J172" s="102" t="s">
        <v>111</v>
      </c>
      <c r="K172" s="103">
        <v>30</v>
      </c>
      <c r="L172" s="104" t="s">
        <v>110</v>
      </c>
      <c r="M172" s="104" t="s">
        <v>139</v>
      </c>
      <c r="N172" s="104"/>
      <c r="O172" s="109"/>
      <c r="P172" s="109"/>
      <c r="Q172" s="105" t="s">
        <v>458</v>
      </c>
    </row>
    <row r="173" spans="1:17" ht="15" customHeight="1">
      <c r="A173" s="97">
        <v>172</v>
      </c>
      <c r="B173" s="101" t="s">
        <v>184</v>
      </c>
      <c r="C173" s="101">
        <v>46148</v>
      </c>
      <c r="D173" s="117">
        <v>46174</v>
      </c>
      <c r="E173" s="106">
        <v>132</v>
      </c>
      <c r="F173" s="98" t="s">
        <v>165</v>
      </c>
      <c r="G173" s="99" t="s">
        <v>144</v>
      </c>
      <c r="H173" s="100">
        <v>1</v>
      </c>
      <c r="I173" s="104" t="s">
        <v>186</v>
      </c>
      <c r="J173" s="102" t="s">
        <v>111</v>
      </c>
      <c r="K173" s="103">
        <v>30</v>
      </c>
      <c r="L173" s="104" t="s">
        <v>110</v>
      </c>
      <c r="M173" s="104" t="s">
        <v>139</v>
      </c>
      <c r="N173" s="104"/>
      <c r="O173" s="109"/>
      <c r="P173" s="109"/>
      <c r="Q173" s="105" t="s">
        <v>458</v>
      </c>
    </row>
    <row r="174" spans="1:17" ht="15" customHeight="1">
      <c r="A174" s="97">
        <v>173</v>
      </c>
      <c r="B174" s="101" t="s">
        <v>184</v>
      </c>
      <c r="C174" s="101">
        <v>46148</v>
      </c>
      <c r="D174" s="117">
        <v>46174</v>
      </c>
      <c r="E174" s="106">
        <v>125</v>
      </c>
      <c r="F174" s="98" t="s">
        <v>289</v>
      </c>
      <c r="G174" s="99" t="s">
        <v>144</v>
      </c>
      <c r="H174" s="100">
        <v>1</v>
      </c>
      <c r="I174" s="104" t="s">
        <v>178</v>
      </c>
      <c r="J174" s="102" t="s">
        <v>111</v>
      </c>
      <c r="K174" s="103">
        <v>30</v>
      </c>
      <c r="L174" s="104" t="s">
        <v>110</v>
      </c>
      <c r="M174" s="104" t="s">
        <v>139</v>
      </c>
      <c r="N174" s="104"/>
      <c r="O174" s="109"/>
      <c r="P174" s="109"/>
      <c r="Q174" s="105" t="s">
        <v>458</v>
      </c>
    </row>
    <row r="175" spans="1:17" ht="15" customHeight="1">
      <c r="A175" s="97">
        <v>174</v>
      </c>
      <c r="B175" s="101" t="s">
        <v>184</v>
      </c>
      <c r="C175" s="101">
        <v>46148</v>
      </c>
      <c r="D175" s="117">
        <v>46174</v>
      </c>
      <c r="E175" s="106">
        <v>63811</v>
      </c>
      <c r="F175" s="98" t="s">
        <v>133</v>
      </c>
      <c r="G175" s="99" t="s">
        <v>101</v>
      </c>
      <c r="H175" s="100" t="s">
        <v>128</v>
      </c>
      <c r="I175" s="104" t="s">
        <v>316</v>
      </c>
      <c r="J175" s="102" t="s">
        <v>250</v>
      </c>
      <c r="K175" s="103">
        <v>30</v>
      </c>
      <c r="L175" s="104" t="s">
        <v>110</v>
      </c>
      <c r="M175" s="104" t="s">
        <v>139</v>
      </c>
      <c r="N175" s="104"/>
      <c r="O175" s="109"/>
      <c r="P175" s="109"/>
      <c r="Q175" s="105" t="s">
        <v>458</v>
      </c>
    </row>
    <row r="176" spans="1:17" ht="15" customHeight="1">
      <c r="A176" s="97">
        <v>175</v>
      </c>
      <c r="B176" s="101" t="s">
        <v>184</v>
      </c>
      <c r="C176" s="101">
        <v>46148</v>
      </c>
      <c r="D176" s="117">
        <v>46174</v>
      </c>
      <c r="E176" s="106">
        <v>63801</v>
      </c>
      <c r="F176" s="98" t="s">
        <v>130</v>
      </c>
      <c r="G176" s="99" t="s">
        <v>101</v>
      </c>
      <c r="H176" s="100" t="s">
        <v>131</v>
      </c>
      <c r="I176" s="104" t="s">
        <v>317</v>
      </c>
      <c r="J176" s="102" t="s">
        <v>250</v>
      </c>
      <c r="K176" s="103">
        <v>30</v>
      </c>
      <c r="L176" s="104" t="s">
        <v>110</v>
      </c>
      <c r="M176" s="104" t="s">
        <v>139</v>
      </c>
      <c r="N176" s="104"/>
      <c r="O176" s="109"/>
      <c r="P176" s="109"/>
      <c r="Q176" s="105" t="s">
        <v>458</v>
      </c>
    </row>
    <row r="177" spans="1:17" ht="15" customHeight="1">
      <c r="A177" s="97">
        <v>176</v>
      </c>
      <c r="B177" s="101" t="s">
        <v>184</v>
      </c>
      <c r="C177" s="101">
        <v>46148</v>
      </c>
      <c r="D177" s="117">
        <v>46174</v>
      </c>
      <c r="E177" s="106">
        <v>63812</v>
      </c>
      <c r="F177" s="98" t="s">
        <v>133</v>
      </c>
      <c r="G177" s="99" t="s">
        <v>101</v>
      </c>
      <c r="H177" s="100" t="s">
        <v>128</v>
      </c>
      <c r="I177" s="104" t="s">
        <v>316</v>
      </c>
      <c r="J177" s="102" t="s">
        <v>250</v>
      </c>
      <c r="K177" s="103">
        <v>30</v>
      </c>
      <c r="L177" s="104" t="s">
        <v>110</v>
      </c>
      <c r="M177" s="104" t="s">
        <v>139</v>
      </c>
      <c r="N177" s="104"/>
      <c r="O177" s="109"/>
      <c r="P177" s="109"/>
      <c r="Q177" s="105" t="s">
        <v>458</v>
      </c>
    </row>
    <row r="178" spans="1:17" ht="15" customHeight="1">
      <c r="A178" s="97">
        <v>177</v>
      </c>
      <c r="B178" s="101" t="s">
        <v>184</v>
      </c>
      <c r="C178" s="101">
        <v>46148</v>
      </c>
      <c r="D178" s="117">
        <v>46174</v>
      </c>
      <c r="E178" s="106">
        <v>63803</v>
      </c>
      <c r="F178" s="98" t="s">
        <v>130</v>
      </c>
      <c r="G178" s="99" t="s">
        <v>101</v>
      </c>
      <c r="H178" s="100" t="s">
        <v>131</v>
      </c>
      <c r="I178" s="104" t="s">
        <v>317</v>
      </c>
      <c r="J178" s="102" t="s">
        <v>250</v>
      </c>
      <c r="K178" s="103">
        <v>30</v>
      </c>
      <c r="L178" s="104" t="s">
        <v>110</v>
      </c>
      <c r="M178" s="104" t="s">
        <v>139</v>
      </c>
      <c r="N178" s="104"/>
      <c r="O178" s="109"/>
      <c r="P178" s="109"/>
      <c r="Q178" s="105" t="s">
        <v>458</v>
      </c>
    </row>
    <row r="179" spans="1:17" ht="15" customHeight="1">
      <c r="A179" s="97">
        <v>178</v>
      </c>
      <c r="B179" s="101" t="s">
        <v>184</v>
      </c>
      <c r="C179" s="101">
        <v>46148</v>
      </c>
      <c r="D179" s="117">
        <v>46174</v>
      </c>
      <c r="E179" s="106">
        <v>63813</v>
      </c>
      <c r="F179" s="98" t="s">
        <v>133</v>
      </c>
      <c r="G179" s="99" t="s">
        <v>101</v>
      </c>
      <c r="H179" s="100" t="s">
        <v>128</v>
      </c>
      <c r="I179" s="104" t="s">
        <v>316</v>
      </c>
      <c r="J179" s="102" t="s">
        <v>250</v>
      </c>
      <c r="K179" s="103">
        <v>30</v>
      </c>
      <c r="L179" s="104" t="s">
        <v>110</v>
      </c>
      <c r="M179" s="104" t="s">
        <v>139</v>
      </c>
      <c r="N179" s="104"/>
      <c r="O179" s="109"/>
      <c r="P179" s="109"/>
      <c r="Q179" s="105" t="s">
        <v>458</v>
      </c>
    </row>
    <row r="180" spans="1:17" ht="15" customHeight="1">
      <c r="A180" s="97">
        <v>179</v>
      </c>
      <c r="B180" s="101" t="s">
        <v>184</v>
      </c>
      <c r="C180" s="101">
        <v>46148</v>
      </c>
      <c r="D180" s="117">
        <v>46174</v>
      </c>
      <c r="E180" s="106">
        <v>63804</v>
      </c>
      <c r="F180" s="98" t="s">
        <v>130</v>
      </c>
      <c r="G180" s="99" t="s">
        <v>101</v>
      </c>
      <c r="H180" s="100" t="s">
        <v>131</v>
      </c>
      <c r="I180" s="104" t="s">
        <v>317</v>
      </c>
      <c r="J180" s="102" t="s">
        <v>250</v>
      </c>
      <c r="K180" s="103">
        <v>30</v>
      </c>
      <c r="L180" s="104" t="s">
        <v>110</v>
      </c>
      <c r="M180" s="104" t="s">
        <v>139</v>
      </c>
      <c r="N180" s="104"/>
      <c r="O180" s="109"/>
      <c r="P180" s="109"/>
      <c r="Q180" s="105" t="s">
        <v>458</v>
      </c>
    </row>
    <row r="181" spans="1:17" ht="15" customHeight="1">
      <c r="A181" s="97">
        <v>180</v>
      </c>
      <c r="B181" s="101" t="s">
        <v>184</v>
      </c>
      <c r="C181" s="101">
        <v>46148</v>
      </c>
      <c r="D181" s="117">
        <v>46174</v>
      </c>
      <c r="E181" s="106">
        <v>63814</v>
      </c>
      <c r="F181" s="98" t="s">
        <v>133</v>
      </c>
      <c r="G181" s="99" t="s">
        <v>101</v>
      </c>
      <c r="H181" s="100" t="s">
        <v>128</v>
      </c>
      <c r="I181" s="104" t="s">
        <v>316</v>
      </c>
      <c r="J181" s="102" t="s">
        <v>250</v>
      </c>
      <c r="K181" s="103">
        <v>30</v>
      </c>
      <c r="L181" s="104" t="s">
        <v>110</v>
      </c>
      <c r="M181" s="104" t="s">
        <v>139</v>
      </c>
      <c r="N181" s="104"/>
      <c r="O181" s="109"/>
      <c r="P181" s="109"/>
      <c r="Q181" s="105" t="s">
        <v>458</v>
      </c>
    </row>
    <row r="182" spans="1:17" ht="15" customHeight="1">
      <c r="A182" s="97">
        <v>181</v>
      </c>
      <c r="B182" s="101" t="s">
        <v>184</v>
      </c>
      <c r="C182" s="101">
        <v>46148</v>
      </c>
      <c r="D182" s="117">
        <v>46174</v>
      </c>
      <c r="E182" s="106">
        <v>63802</v>
      </c>
      <c r="F182" s="98" t="s">
        <v>130</v>
      </c>
      <c r="G182" s="99" t="s">
        <v>101</v>
      </c>
      <c r="H182" s="100" t="s">
        <v>131</v>
      </c>
      <c r="I182" s="104" t="s">
        <v>317</v>
      </c>
      <c r="J182" s="102" t="s">
        <v>250</v>
      </c>
      <c r="K182" s="103">
        <v>30</v>
      </c>
      <c r="L182" s="104" t="s">
        <v>110</v>
      </c>
      <c r="M182" s="104" t="s">
        <v>139</v>
      </c>
      <c r="N182" s="104"/>
      <c r="O182" s="109"/>
      <c r="P182" s="109"/>
      <c r="Q182" s="105" t="s">
        <v>458</v>
      </c>
    </row>
    <row r="183" spans="1:17" ht="15" customHeight="1">
      <c r="A183" s="97">
        <v>182</v>
      </c>
      <c r="B183" s="101" t="s">
        <v>184</v>
      </c>
      <c r="C183" s="101">
        <v>46148</v>
      </c>
      <c r="D183" s="117">
        <v>46174</v>
      </c>
      <c r="E183" s="106">
        <v>63805</v>
      </c>
      <c r="F183" s="98" t="s">
        <v>130</v>
      </c>
      <c r="G183" s="99" t="s">
        <v>101</v>
      </c>
      <c r="H183" s="100" t="s">
        <v>131</v>
      </c>
      <c r="I183" s="104" t="s">
        <v>317</v>
      </c>
      <c r="J183" s="102" t="s">
        <v>250</v>
      </c>
      <c r="K183" s="103">
        <v>30</v>
      </c>
      <c r="L183" s="104" t="s">
        <v>110</v>
      </c>
      <c r="M183" s="104" t="s">
        <v>139</v>
      </c>
      <c r="N183" s="104"/>
      <c r="O183" s="109"/>
      <c r="P183" s="109"/>
      <c r="Q183" s="105" t="s">
        <v>458</v>
      </c>
    </row>
    <row r="184" spans="1:17">
      <c r="A184" s="97">
        <v>183</v>
      </c>
      <c r="B184" s="101" t="s">
        <v>497</v>
      </c>
      <c r="C184" s="101">
        <v>46175</v>
      </c>
      <c r="D184" s="117">
        <v>46174</v>
      </c>
      <c r="E184" s="98">
        <v>3544</v>
      </c>
      <c r="F184" s="98" t="s">
        <v>244</v>
      </c>
      <c r="G184" s="99" t="s">
        <v>144</v>
      </c>
      <c r="H184" s="100" t="s">
        <v>248</v>
      </c>
      <c r="I184" s="104" t="s">
        <v>282</v>
      </c>
      <c r="J184" s="102" t="s">
        <v>146</v>
      </c>
      <c r="K184" s="103">
        <v>14</v>
      </c>
      <c r="L184" s="104" t="s">
        <v>100</v>
      </c>
      <c r="M184" s="104" t="s">
        <v>147</v>
      </c>
      <c r="N184" s="104" t="s">
        <v>211</v>
      </c>
      <c r="O184" s="110">
        <v>0</v>
      </c>
      <c r="P184" s="110">
        <v>70</v>
      </c>
      <c r="Q184" s="114" t="s">
        <v>496</v>
      </c>
    </row>
    <row r="185" spans="1:17">
      <c r="A185" s="97">
        <v>184</v>
      </c>
      <c r="B185" s="101" t="s">
        <v>497</v>
      </c>
      <c r="C185" s="101">
        <v>46175</v>
      </c>
      <c r="D185" s="117">
        <v>46174</v>
      </c>
      <c r="E185" s="98">
        <v>3552</v>
      </c>
      <c r="F185" s="98" t="s">
        <v>227</v>
      </c>
      <c r="G185" s="99" t="s">
        <v>144</v>
      </c>
      <c r="H185" s="100" t="s">
        <v>129</v>
      </c>
      <c r="I185" s="104" t="s">
        <v>213</v>
      </c>
      <c r="J185" s="102" t="s">
        <v>146</v>
      </c>
      <c r="K185" s="103">
        <v>7</v>
      </c>
      <c r="L185" s="104" t="s">
        <v>100</v>
      </c>
      <c r="M185" s="104" t="s">
        <v>147</v>
      </c>
      <c r="N185" s="104" t="s">
        <v>211</v>
      </c>
      <c r="O185" s="110">
        <v>0</v>
      </c>
      <c r="P185" s="110">
        <v>70</v>
      </c>
      <c r="Q185" s="114" t="s">
        <v>496</v>
      </c>
    </row>
    <row r="186" spans="1:17">
      <c r="A186" s="97">
        <v>185</v>
      </c>
      <c r="B186" s="101" t="s">
        <v>497</v>
      </c>
      <c r="C186" s="101">
        <v>46175</v>
      </c>
      <c r="D186" s="117">
        <v>46174</v>
      </c>
      <c r="E186" s="98">
        <v>3548</v>
      </c>
      <c r="F186" s="98" t="s">
        <v>367</v>
      </c>
      <c r="G186" s="99" t="s">
        <v>144</v>
      </c>
      <c r="H186" s="100" t="s">
        <v>217</v>
      </c>
      <c r="I186" s="104" t="s">
        <v>548</v>
      </c>
      <c r="J186" s="102" t="s">
        <v>146</v>
      </c>
      <c r="K186" s="103">
        <v>14</v>
      </c>
      <c r="L186" s="104" t="s">
        <v>100</v>
      </c>
      <c r="M186" s="104" t="s">
        <v>147</v>
      </c>
      <c r="N186" s="104" t="s">
        <v>211</v>
      </c>
      <c r="O186" s="110">
        <v>0</v>
      </c>
      <c r="P186" s="110">
        <v>70</v>
      </c>
      <c r="Q186" s="114" t="s">
        <v>496</v>
      </c>
    </row>
    <row r="187" spans="1:17">
      <c r="A187" s="97">
        <v>186</v>
      </c>
      <c r="B187" s="101" t="s">
        <v>497</v>
      </c>
      <c r="C187" s="101">
        <v>46175</v>
      </c>
      <c r="D187" s="117">
        <v>46174</v>
      </c>
      <c r="E187" s="98">
        <v>3546</v>
      </c>
      <c r="F187" s="98" t="s">
        <v>255</v>
      </c>
      <c r="G187" s="99" t="s">
        <v>144</v>
      </c>
      <c r="H187" s="100" t="s">
        <v>260</v>
      </c>
      <c r="I187" s="104" t="s">
        <v>281</v>
      </c>
      <c r="J187" s="102" t="s">
        <v>146</v>
      </c>
      <c r="K187" s="103">
        <v>14</v>
      </c>
      <c r="L187" s="104" t="s">
        <v>100</v>
      </c>
      <c r="M187" s="104" t="s">
        <v>147</v>
      </c>
      <c r="N187" s="104" t="s">
        <v>211</v>
      </c>
      <c r="O187" s="110">
        <v>0</v>
      </c>
      <c r="P187" s="110">
        <v>70</v>
      </c>
      <c r="Q187" s="114" t="s">
        <v>496</v>
      </c>
    </row>
    <row r="188" spans="1:17">
      <c r="A188" s="97">
        <v>187</v>
      </c>
      <c r="B188" s="101" t="s">
        <v>497</v>
      </c>
      <c r="C188" s="101">
        <v>46175</v>
      </c>
      <c r="D188" s="117">
        <v>46174</v>
      </c>
      <c r="E188" s="98">
        <v>3549</v>
      </c>
      <c r="F188" s="98" t="s">
        <v>320</v>
      </c>
      <c r="G188" s="99" t="s">
        <v>144</v>
      </c>
      <c r="H188" s="100" t="s">
        <v>305</v>
      </c>
      <c r="I188" s="104" t="s">
        <v>549</v>
      </c>
      <c r="J188" s="102" t="s">
        <v>146</v>
      </c>
      <c r="K188" s="103">
        <v>7</v>
      </c>
      <c r="L188" s="104" t="s">
        <v>100</v>
      </c>
      <c r="M188" s="104" t="s">
        <v>147</v>
      </c>
      <c r="N188" s="104" t="s">
        <v>211</v>
      </c>
      <c r="O188" s="110">
        <v>0</v>
      </c>
      <c r="P188" s="110">
        <v>70</v>
      </c>
      <c r="Q188" s="114" t="s">
        <v>496</v>
      </c>
    </row>
    <row r="189" spans="1:17">
      <c r="A189" s="97">
        <v>188</v>
      </c>
      <c r="B189" s="101" t="s">
        <v>497</v>
      </c>
      <c r="C189" s="101">
        <v>46175</v>
      </c>
      <c r="D189" s="117">
        <v>46174</v>
      </c>
      <c r="E189" s="98">
        <v>3555</v>
      </c>
      <c r="F189" s="98" t="s">
        <v>254</v>
      </c>
      <c r="G189" s="99" t="s">
        <v>144</v>
      </c>
      <c r="H189" s="100" t="s">
        <v>259</v>
      </c>
      <c r="I189" s="104" t="s">
        <v>550</v>
      </c>
      <c r="J189" s="102" t="s">
        <v>146</v>
      </c>
      <c r="K189" s="103">
        <v>7</v>
      </c>
      <c r="L189" s="104" t="s">
        <v>100</v>
      </c>
      <c r="M189" s="104" t="s">
        <v>147</v>
      </c>
      <c r="N189" s="104" t="s">
        <v>211</v>
      </c>
      <c r="O189" s="110">
        <v>0</v>
      </c>
      <c r="P189" s="110">
        <v>70</v>
      </c>
      <c r="Q189" s="114" t="s">
        <v>496</v>
      </c>
    </row>
    <row r="190" spans="1:17">
      <c r="A190" s="97">
        <v>189</v>
      </c>
      <c r="B190" s="101" t="s">
        <v>497</v>
      </c>
      <c r="C190" s="101">
        <v>46175</v>
      </c>
      <c r="D190" s="117">
        <v>46174</v>
      </c>
      <c r="E190" s="98">
        <v>3554</v>
      </c>
      <c r="F190" s="98" t="s">
        <v>547</v>
      </c>
      <c r="G190" s="99" t="s">
        <v>144</v>
      </c>
      <c r="H190" s="100" t="s">
        <v>197</v>
      </c>
      <c r="I190" s="104" t="s">
        <v>188</v>
      </c>
      <c r="J190" s="102" t="s">
        <v>146</v>
      </c>
      <c r="K190" s="103">
        <v>7</v>
      </c>
      <c r="L190" s="104" t="s">
        <v>100</v>
      </c>
      <c r="M190" s="104" t="s">
        <v>147</v>
      </c>
      <c r="N190" s="104" t="s">
        <v>211</v>
      </c>
      <c r="O190" s="110">
        <v>0</v>
      </c>
      <c r="P190" s="110">
        <v>70</v>
      </c>
      <c r="Q190" s="114" t="s">
        <v>496</v>
      </c>
    </row>
    <row r="191" spans="1:17">
      <c r="A191" s="97">
        <v>190</v>
      </c>
      <c r="B191" s="101" t="s">
        <v>497</v>
      </c>
      <c r="C191" s="101">
        <v>46175</v>
      </c>
      <c r="D191" s="117">
        <v>46174</v>
      </c>
      <c r="E191" s="98">
        <v>147</v>
      </c>
      <c r="F191" s="98" t="s">
        <v>221</v>
      </c>
      <c r="G191" s="99" t="s">
        <v>144</v>
      </c>
      <c r="H191" s="100" t="s">
        <v>196</v>
      </c>
      <c r="I191" s="104" t="s">
        <v>203</v>
      </c>
      <c r="J191" s="102" t="s">
        <v>146</v>
      </c>
      <c r="K191" s="103">
        <v>7</v>
      </c>
      <c r="L191" s="104" t="s">
        <v>100</v>
      </c>
      <c r="M191" s="104" t="s">
        <v>147</v>
      </c>
      <c r="N191" s="104" t="s">
        <v>211</v>
      </c>
      <c r="O191" s="110">
        <v>0</v>
      </c>
      <c r="P191" s="110">
        <v>70</v>
      </c>
      <c r="Q191" s="114" t="s">
        <v>496</v>
      </c>
    </row>
    <row r="192" spans="1:17">
      <c r="A192" s="97">
        <v>191</v>
      </c>
      <c r="B192" s="101" t="s">
        <v>497</v>
      </c>
      <c r="C192" s="101">
        <v>46175</v>
      </c>
      <c r="D192" s="117">
        <v>46174</v>
      </c>
      <c r="E192" s="98">
        <v>3556</v>
      </c>
      <c r="F192" s="98" t="s">
        <v>298</v>
      </c>
      <c r="G192" s="99" t="s">
        <v>144</v>
      </c>
      <c r="H192" s="100" t="s">
        <v>199</v>
      </c>
      <c r="I192" s="104" t="s">
        <v>206</v>
      </c>
      <c r="J192" s="102" t="s">
        <v>146</v>
      </c>
      <c r="K192" s="103">
        <v>7</v>
      </c>
      <c r="L192" s="104" t="s">
        <v>100</v>
      </c>
      <c r="M192" s="104" t="s">
        <v>147</v>
      </c>
      <c r="N192" s="104" t="s">
        <v>211</v>
      </c>
      <c r="O192" s="110">
        <v>0</v>
      </c>
      <c r="P192" s="110">
        <v>70</v>
      </c>
      <c r="Q192" s="114" t="s">
        <v>496</v>
      </c>
    </row>
    <row r="193" spans="1:17">
      <c r="A193" s="97">
        <v>192</v>
      </c>
      <c r="B193" s="101" t="s">
        <v>497</v>
      </c>
      <c r="C193" s="101">
        <v>46175</v>
      </c>
      <c r="D193" s="117">
        <v>46175</v>
      </c>
      <c r="E193" s="98">
        <v>116</v>
      </c>
      <c r="F193" s="98" t="s">
        <v>253</v>
      </c>
      <c r="G193" s="99" t="s">
        <v>144</v>
      </c>
      <c r="H193" s="100" t="s">
        <v>263</v>
      </c>
      <c r="I193" s="104" t="s">
        <v>270</v>
      </c>
      <c r="J193" s="102" t="s">
        <v>146</v>
      </c>
      <c r="K193" s="103">
        <v>14</v>
      </c>
      <c r="L193" s="104" t="s">
        <v>100</v>
      </c>
      <c r="M193" s="104" t="s">
        <v>147</v>
      </c>
      <c r="N193" s="104" t="s">
        <v>211</v>
      </c>
      <c r="O193" s="110">
        <v>70</v>
      </c>
      <c r="P193" s="110">
        <v>192.08</v>
      </c>
      <c r="Q193" s="114" t="s">
        <v>496</v>
      </c>
    </row>
    <row r="194" spans="1:17">
      <c r="A194" s="97">
        <v>193</v>
      </c>
      <c r="B194" s="101" t="s">
        <v>497</v>
      </c>
      <c r="C194" s="101">
        <v>46175</v>
      </c>
      <c r="D194" s="117">
        <v>46175</v>
      </c>
      <c r="E194" s="98">
        <v>3553</v>
      </c>
      <c r="F194" s="98" t="s">
        <v>227</v>
      </c>
      <c r="G194" s="99" t="s">
        <v>144</v>
      </c>
      <c r="H194" s="100" t="s">
        <v>129</v>
      </c>
      <c r="I194" s="104" t="s">
        <v>213</v>
      </c>
      <c r="J194" s="102" t="s">
        <v>146</v>
      </c>
      <c r="K194" s="103">
        <v>7</v>
      </c>
      <c r="L194" s="104" t="s">
        <v>100</v>
      </c>
      <c r="M194" s="104" t="s">
        <v>147</v>
      </c>
      <c r="N194" s="104" t="s">
        <v>211</v>
      </c>
      <c r="O194" s="110">
        <v>70</v>
      </c>
      <c r="P194" s="110">
        <v>192.08</v>
      </c>
      <c r="Q194" s="114" t="s">
        <v>496</v>
      </c>
    </row>
    <row r="195" spans="1:17">
      <c r="A195" s="97">
        <v>194</v>
      </c>
      <c r="B195" s="101" t="s">
        <v>497</v>
      </c>
      <c r="C195" s="101">
        <v>46175</v>
      </c>
      <c r="D195" s="117">
        <v>46175</v>
      </c>
      <c r="E195" s="98">
        <v>3562</v>
      </c>
      <c r="F195" s="98" t="s">
        <v>367</v>
      </c>
      <c r="G195" s="99" t="s">
        <v>144</v>
      </c>
      <c r="H195" s="100" t="s">
        <v>217</v>
      </c>
      <c r="I195" s="104" t="s">
        <v>214</v>
      </c>
      <c r="J195" s="102" t="s">
        <v>146</v>
      </c>
      <c r="K195" s="103">
        <v>14</v>
      </c>
      <c r="L195" s="104" t="s">
        <v>100</v>
      </c>
      <c r="M195" s="104" t="s">
        <v>147</v>
      </c>
      <c r="N195" s="104" t="s">
        <v>211</v>
      </c>
      <c r="O195" s="110">
        <v>70</v>
      </c>
      <c r="P195" s="110">
        <v>192.08</v>
      </c>
      <c r="Q195" s="114" t="s">
        <v>496</v>
      </c>
    </row>
    <row r="196" spans="1:17">
      <c r="A196" s="97">
        <v>195</v>
      </c>
      <c r="B196" s="101" t="s">
        <v>497</v>
      </c>
      <c r="C196" s="101">
        <v>46175</v>
      </c>
      <c r="D196" s="117">
        <v>46175</v>
      </c>
      <c r="E196" s="98">
        <v>3550</v>
      </c>
      <c r="F196" s="98" t="s">
        <v>320</v>
      </c>
      <c r="G196" s="99" t="s">
        <v>144</v>
      </c>
      <c r="H196" s="100" t="s">
        <v>305</v>
      </c>
      <c r="I196" s="104" t="s">
        <v>215</v>
      </c>
      <c r="J196" s="102" t="s">
        <v>146</v>
      </c>
      <c r="K196" s="103">
        <v>7</v>
      </c>
      <c r="L196" s="104" t="s">
        <v>100</v>
      </c>
      <c r="M196" s="104" t="s">
        <v>147</v>
      </c>
      <c r="N196" s="104" t="s">
        <v>211</v>
      </c>
      <c r="O196" s="110">
        <v>70</v>
      </c>
      <c r="P196" s="110">
        <v>192.08</v>
      </c>
      <c r="Q196" s="114" t="s">
        <v>496</v>
      </c>
    </row>
    <row r="197" spans="1:17">
      <c r="A197" s="97">
        <v>196</v>
      </c>
      <c r="B197" s="101" t="s">
        <v>497</v>
      </c>
      <c r="C197" s="101">
        <v>46175</v>
      </c>
      <c r="D197" s="117">
        <v>46175</v>
      </c>
      <c r="E197" s="98">
        <v>127</v>
      </c>
      <c r="F197" s="98" t="s">
        <v>284</v>
      </c>
      <c r="G197" s="99" t="s">
        <v>144</v>
      </c>
      <c r="H197" s="100" t="s">
        <v>247</v>
      </c>
      <c r="I197" s="104" t="s">
        <v>272</v>
      </c>
      <c r="J197" s="102" t="s">
        <v>146</v>
      </c>
      <c r="K197" s="103">
        <v>14</v>
      </c>
      <c r="L197" s="104" t="s">
        <v>100</v>
      </c>
      <c r="M197" s="104" t="s">
        <v>147</v>
      </c>
      <c r="N197" s="104" t="s">
        <v>211</v>
      </c>
      <c r="O197" s="110">
        <v>70</v>
      </c>
      <c r="P197" s="110">
        <v>192.08</v>
      </c>
      <c r="Q197" s="114" t="s">
        <v>496</v>
      </c>
    </row>
    <row r="198" spans="1:17">
      <c r="A198" s="97">
        <v>197</v>
      </c>
      <c r="B198" s="101" t="s">
        <v>497</v>
      </c>
      <c r="C198" s="101">
        <v>46175</v>
      </c>
      <c r="D198" s="117">
        <v>46175</v>
      </c>
      <c r="E198" s="98">
        <v>117</v>
      </c>
      <c r="F198" s="98" t="s">
        <v>253</v>
      </c>
      <c r="G198" s="99" t="s">
        <v>144</v>
      </c>
      <c r="H198" s="100" t="s">
        <v>263</v>
      </c>
      <c r="I198" s="104" t="s">
        <v>270</v>
      </c>
      <c r="J198" s="102" t="s">
        <v>146</v>
      </c>
      <c r="K198" s="103">
        <v>14</v>
      </c>
      <c r="L198" s="104" t="s">
        <v>100</v>
      </c>
      <c r="M198" s="104" t="s">
        <v>147</v>
      </c>
      <c r="N198" s="104" t="s">
        <v>211</v>
      </c>
      <c r="O198" s="110">
        <v>70</v>
      </c>
      <c r="P198" s="110">
        <v>192.08</v>
      </c>
      <c r="Q198" s="114" t="s">
        <v>496</v>
      </c>
    </row>
    <row r="199" spans="1:17">
      <c r="A199" s="97">
        <v>198</v>
      </c>
      <c r="B199" s="101" t="s">
        <v>497</v>
      </c>
      <c r="C199" s="101">
        <v>46175</v>
      </c>
      <c r="D199" s="117">
        <v>46175</v>
      </c>
      <c r="E199" s="98">
        <v>3563</v>
      </c>
      <c r="F199" s="98" t="s">
        <v>227</v>
      </c>
      <c r="G199" s="99" t="s">
        <v>144</v>
      </c>
      <c r="H199" s="100" t="s">
        <v>129</v>
      </c>
      <c r="I199" s="104" t="s">
        <v>213</v>
      </c>
      <c r="J199" s="102" t="s">
        <v>146</v>
      </c>
      <c r="K199" s="103">
        <v>7</v>
      </c>
      <c r="L199" s="104" t="s">
        <v>100</v>
      </c>
      <c r="M199" s="104" t="s">
        <v>147</v>
      </c>
      <c r="N199" s="104" t="s">
        <v>211</v>
      </c>
      <c r="O199" s="110">
        <v>70</v>
      </c>
      <c r="P199" s="110">
        <v>192.08</v>
      </c>
      <c r="Q199" s="114" t="s">
        <v>496</v>
      </c>
    </row>
    <row r="200" spans="1:17">
      <c r="A200" s="97">
        <v>199</v>
      </c>
      <c r="B200" s="101" t="s">
        <v>497</v>
      </c>
      <c r="C200" s="101">
        <v>46175</v>
      </c>
      <c r="D200" s="117">
        <v>46175</v>
      </c>
      <c r="E200" s="98">
        <v>3564</v>
      </c>
      <c r="F200" s="98" t="s">
        <v>320</v>
      </c>
      <c r="G200" s="99" t="s">
        <v>144</v>
      </c>
      <c r="H200" s="100" t="s">
        <v>305</v>
      </c>
      <c r="I200" s="104" t="s">
        <v>215</v>
      </c>
      <c r="J200" s="102" t="s">
        <v>146</v>
      </c>
      <c r="K200" s="103">
        <v>7</v>
      </c>
      <c r="L200" s="104" t="s">
        <v>100</v>
      </c>
      <c r="M200" s="104" t="s">
        <v>147</v>
      </c>
      <c r="N200" s="104" t="s">
        <v>211</v>
      </c>
      <c r="O200" s="110">
        <v>70</v>
      </c>
      <c r="P200" s="110">
        <v>192.08</v>
      </c>
      <c r="Q200" s="114" t="s">
        <v>496</v>
      </c>
    </row>
    <row r="201" spans="1:17">
      <c r="A201" s="97">
        <v>200</v>
      </c>
      <c r="B201" s="101" t="s">
        <v>497</v>
      </c>
      <c r="C201" s="101">
        <v>46175</v>
      </c>
      <c r="D201" s="117">
        <v>46175</v>
      </c>
      <c r="E201" s="98">
        <v>3565</v>
      </c>
      <c r="F201" s="98" t="s">
        <v>227</v>
      </c>
      <c r="G201" s="99" t="s">
        <v>144</v>
      </c>
      <c r="H201" s="100" t="s">
        <v>129</v>
      </c>
      <c r="I201" s="104" t="s">
        <v>213</v>
      </c>
      <c r="J201" s="102" t="s">
        <v>146</v>
      </c>
      <c r="K201" s="103">
        <v>7</v>
      </c>
      <c r="L201" s="104" t="s">
        <v>100</v>
      </c>
      <c r="M201" s="104" t="s">
        <v>147</v>
      </c>
      <c r="N201" s="104" t="s">
        <v>211</v>
      </c>
      <c r="O201" s="110">
        <v>70</v>
      </c>
      <c r="P201" s="110">
        <v>192.08</v>
      </c>
      <c r="Q201" s="114" t="s">
        <v>496</v>
      </c>
    </row>
    <row r="202" spans="1:17">
      <c r="A202" s="97">
        <v>201</v>
      </c>
      <c r="B202" s="101" t="s">
        <v>497</v>
      </c>
      <c r="C202" s="101">
        <v>46175</v>
      </c>
      <c r="D202" s="117">
        <v>46175</v>
      </c>
      <c r="E202" s="98">
        <v>3557</v>
      </c>
      <c r="F202" s="98" t="s">
        <v>221</v>
      </c>
      <c r="G202" s="99" t="s">
        <v>144</v>
      </c>
      <c r="H202" s="100" t="s">
        <v>196</v>
      </c>
      <c r="I202" s="104" t="s">
        <v>203</v>
      </c>
      <c r="J202" s="102" t="s">
        <v>146</v>
      </c>
      <c r="K202" s="103">
        <v>7</v>
      </c>
      <c r="L202" s="104" t="s">
        <v>100</v>
      </c>
      <c r="M202" s="104" t="s">
        <v>147</v>
      </c>
      <c r="N202" s="104" t="s">
        <v>211</v>
      </c>
      <c r="O202" s="110">
        <v>70</v>
      </c>
      <c r="P202" s="110">
        <v>192.08</v>
      </c>
      <c r="Q202" s="114" t="s">
        <v>496</v>
      </c>
    </row>
    <row r="203" spans="1:17">
      <c r="A203" s="97">
        <v>202</v>
      </c>
      <c r="B203" s="101" t="s">
        <v>497</v>
      </c>
      <c r="C203" s="101">
        <v>46175</v>
      </c>
      <c r="D203" s="117">
        <v>46175</v>
      </c>
      <c r="E203" s="98">
        <v>3568</v>
      </c>
      <c r="F203" s="98" t="s">
        <v>366</v>
      </c>
      <c r="G203" s="99" t="s">
        <v>144</v>
      </c>
      <c r="H203" s="100" t="s">
        <v>218</v>
      </c>
      <c r="I203" s="104" t="s">
        <v>389</v>
      </c>
      <c r="J203" s="102" t="s">
        <v>146</v>
      </c>
      <c r="K203" s="103">
        <v>7</v>
      </c>
      <c r="L203" s="104" t="s">
        <v>100</v>
      </c>
      <c r="M203" s="104" t="s">
        <v>147</v>
      </c>
      <c r="N203" s="104" t="s">
        <v>211</v>
      </c>
      <c r="O203" s="110">
        <v>70</v>
      </c>
      <c r="P203" s="110">
        <v>192.08</v>
      </c>
      <c r="Q203" s="114" t="s">
        <v>496</v>
      </c>
    </row>
    <row r="204" spans="1:17">
      <c r="A204" s="97">
        <v>203</v>
      </c>
      <c r="B204" s="101" t="s">
        <v>497</v>
      </c>
      <c r="C204" s="101">
        <v>46175</v>
      </c>
      <c r="D204" s="117">
        <v>46175</v>
      </c>
      <c r="E204" s="98">
        <v>3569</v>
      </c>
      <c r="F204" s="98" t="s">
        <v>320</v>
      </c>
      <c r="G204" s="99" t="s">
        <v>144</v>
      </c>
      <c r="H204" s="100" t="s">
        <v>305</v>
      </c>
      <c r="I204" s="104" t="s">
        <v>215</v>
      </c>
      <c r="J204" s="102" t="s">
        <v>146</v>
      </c>
      <c r="K204" s="103">
        <v>7</v>
      </c>
      <c r="L204" s="104" t="s">
        <v>100</v>
      </c>
      <c r="M204" s="104" t="s">
        <v>147</v>
      </c>
      <c r="N204" s="104" t="s">
        <v>211</v>
      </c>
      <c r="O204" s="110">
        <v>70</v>
      </c>
      <c r="P204" s="110">
        <v>192.08</v>
      </c>
      <c r="Q204" s="114" t="s">
        <v>496</v>
      </c>
    </row>
    <row r="205" spans="1:17" ht="15" customHeight="1">
      <c r="A205" s="97">
        <v>204</v>
      </c>
      <c r="B205" s="101" t="s">
        <v>184</v>
      </c>
      <c r="C205" s="101">
        <v>46148</v>
      </c>
      <c r="D205" s="117">
        <v>46176</v>
      </c>
      <c r="E205" s="106">
        <v>137</v>
      </c>
      <c r="F205" s="98" t="s">
        <v>189</v>
      </c>
      <c r="G205" s="99" t="s">
        <v>144</v>
      </c>
      <c r="H205" s="100">
        <v>33</v>
      </c>
      <c r="I205" s="104" t="s">
        <v>194</v>
      </c>
      <c r="J205" s="102" t="s">
        <v>111</v>
      </c>
      <c r="K205" s="103">
        <v>30</v>
      </c>
      <c r="L205" s="104" t="s">
        <v>110</v>
      </c>
      <c r="M205" s="104" t="s">
        <v>139</v>
      </c>
      <c r="N205" s="104"/>
      <c r="O205" s="109"/>
      <c r="P205" s="109"/>
      <c r="Q205" s="105" t="s">
        <v>458</v>
      </c>
    </row>
    <row r="206" spans="1:17" ht="15" customHeight="1">
      <c r="A206" s="97">
        <v>205</v>
      </c>
      <c r="B206" s="101" t="s">
        <v>184</v>
      </c>
      <c r="C206" s="101">
        <v>46148</v>
      </c>
      <c r="D206" s="117">
        <v>46176</v>
      </c>
      <c r="E206" s="106">
        <v>124</v>
      </c>
      <c r="F206" s="98" t="s">
        <v>291</v>
      </c>
      <c r="G206" s="99" t="s">
        <v>144</v>
      </c>
      <c r="H206" s="100">
        <v>25</v>
      </c>
      <c r="I206" s="104" t="s">
        <v>318</v>
      </c>
      <c r="J206" s="102" t="s">
        <v>111</v>
      </c>
      <c r="K206" s="103">
        <v>30</v>
      </c>
      <c r="L206" s="104" t="s">
        <v>110</v>
      </c>
      <c r="M206" s="104" t="s">
        <v>139</v>
      </c>
      <c r="N206" s="104"/>
      <c r="O206" s="109"/>
      <c r="P206" s="109"/>
      <c r="Q206" s="105" t="s">
        <v>458</v>
      </c>
    </row>
    <row r="207" spans="1:17" ht="15" customHeight="1">
      <c r="A207" s="97">
        <v>206</v>
      </c>
      <c r="B207" s="101" t="s">
        <v>184</v>
      </c>
      <c r="C207" s="101">
        <v>46148</v>
      </c>
      <c r="D207" s="117">
        <v>46176</v>
      </c>
      <c r="E207" s="106">
        <v>134</v>
      </c>
      <c r="F207" s="98" t="s">
        <v>190</v>
      </c>
      <c r="G207" s="99" t="s">
        <v>144</v>
      </c>
      <c r="H207" s="100">
        <v>1</v>
      </c>
      <c r="I207" s="104" t="s">
        <v>186</v>
      </c>
      <c r="J207" s="102" t="s">
        <v>111</v>
      </c>
      <c r="K207" s="103">
        <v>30</v>
      </c>
      <c r="L207" s="104" t="s">
        <v>110</v>
      </c>
      <c r="M207" s="104" t="s">
        <v>139</v>
      </c>
      <c r="N207" s="104"/>
      <c r="O207" s="109"/>
      <c r="P207" s="109"/>
      <c r="Q207" s="105" t="s">
        <v>458</v>
      </c>
    </row>
    <row r="208" spans="1:17" ht="15" customHeight="1">
      <c r="A208" s="97">
        <v>207</v>
      </c>
      <c r="B208" s="101" t="s">
        <v>184</v>
      </c>
      <c r="C208" s="101">
        <v>46148</v>
      </c>
      <c r="D208" s="117">
        <v>46176</v>
      </c>
      <c r="E208" s="106">
        <v>127</v>
      </c>
      <c r="F208" s="98" t="s">
        <v>289</v>
      </c>
      <c r="G208" s="99" t="s">
        <v>144</v>
      </c>
      <c r="H208" s="100">
        <v>4</v>
      </c>
      <c r="I208" s="104" t="s">
        <v>178</v>
      </c>
      <c r="J208" s="102" t="s">
        <v>111</v>
      </c>
      <c r="K208" s="103">
        <v>30</v>
      </c>
      <c r="L208" s="104" t="s">
        <v>110</v>
      </c>
      <c r="M208" s="104" t="s">
        <v>139</v>
      </c>
      <c r="N208" s="104"/>
      <c r="O208" s="109"/>
      <c r="P208" s="109"/>
      <c r="Q208" s="105" t="s">
        <v>458</v>
      </c>
    </row>
    <row r="209" spans="1:17" ht="15" customHeight="1">
      <c r="A209" s="97">
        <v>208</v>
      </c>
      <c r="B209" s="101" t="s">
        <v>184</v>
      </c>
      <c r="C209" s="101">
        <v>46148</v>
      </c>
      <c r="D209" s="117">
        <v>46176</v>
      </c>
      <c r="E209" s="106">
        <v>128</v>
      </c>
      <c r="F209" s="98" t="s">
        <v>191</v>
      </c>
      <c r="G209" s="99" t="s">
        <v>144</v>
      </c>
      <c r="H209" s="100">
        <v>5</v>
      </c>
      <c r="I209" s="104" t="s">
        <v>178</v>
      </c>
      <c r="J209" s="102" t="s">
        <v>111</v>
      </c>
      <c r="K209" s="103">
        <v>30</v>
      </c>
      <c r="L209" s="104" t="s">
        <v>110</v>
      </c>
      <c r="M209" s="104" t="s">
        <v>139</v>
      </c>
      <c r="N209" s="104"/>
      <c r="O209" s="109"/>
      <c r="P209" s="109"/>
      <c r="Q209" s="105" t="s">
        <v>458</v>
      </c>
    </row>
    <row r="210" spans="1:17" ht="15" customHeight="1">
      <c r="A210" s="97">
        <v>209</v>
      </c>
      <c r="B210" s="101" t="s">
        <v>184</v>
      </c>
      <c r="C210" s="101">
        <v>46148</v>
      </c>
      <c r="D210" s="117">
        <v>46176</v>
      </c>
      <c r="E210" s="106">
        <v>63809</v>
      </c>
      <c r="F210" s="98" t="s">
        <v>130</v>
      </c>
      <c r="G210" s="99" t="s">
        <v>101</v>
      </c>
      <c r="H210" s="100" t="s">
        <v>131</v>
      </c>
      <c r="I210" s="104" t="s">
        <v>317</v>
      </c>
      <c r="J210" s="102" t="s">
        <v>250</v>
      </c>
      <c r="K210" s="103">
        <v>30</v>
      </c>
      <c r="L210" s="104" t="s">
        <v>110</v>
      </c>
      <c r="M210" s="104" t="s">
        <v>139</v>
      </c>
      <c r="N210" s="104"/>
      <c r="O210" s="109"/>
      <c r="P210" s="109"/>
      <c r="Q210" s="105" t="s">
        <v>458</v>
      </c>
    </row>
    <row r="211" spans="1:17" ht="15" customHeight="1">
      <c r="A211" s="97">
        <v>210</v>
      </c>
      <c r="B211" s="101" t="s">
        <v>184</v>
      </c>
      <c r="C211" s="101">
        <v>46148</v>
      </c>
      <c r="D211" s="117">
        <v>46176</v>
      </c>
      <c r="E211" s="106">
        <v>63820</v>
      </c>
      <c r="F211" s="98" t="s">
        <v>133</v>
      </c>
      <c r="G211" s="99" t="s">
        <v>101</v>
      </c>
      <c r="H211" s="100" t="s">
        <v>128</v>
      </c>
      <c r="I211" s="104" t="s">
        <v>316</v>
      </c>
      <c r="J211" s="102" t="s">
        <v>250</v>
      </c>
      <c r="K211" s="103">
        <v>30</v>
      </c>
      <c r="L211" s="104" t="s">
        <v>110</v>
      </c>
      <c r="M211" s="104" t="s">
        <v>139</v>
      </c>
      <c r="N211" s="104"/>
      <c r="O211" s="109"/>
      <c r="P211" s="109"/>
      <c r="Q211" s="105" t="s">
        <v>458</v>
      </c>
    </row>
    <row r="212" spans="1:17" ht="15" customHeight="1">
      <c r="A212" s="97">
        <v>211</v>
      </c>
      <c r="B212" s="101" t="s">
        <v>497</v>
      </c>
      <c r="C212" s="101">
        <v>46175</v>
      </c>
      <c r="D212" s="117">
        <v>46176</v>
      </c>
      <c r="E212" s="106" t="s">
        <v>319</v>
      </c>
      <c r="F212" s="98" t="s">
        <v>133</v>
      </c>
      <c r="G212" s="99" t="s">
        <v>101</v>
      </c>
      <c r="H212" s="100" t="s">
        <v>128</v>
      </c>
      <c r="I212" s="104" t="s">
        <v>316</v>
      </c>
      <c r="J212" s="102" t="s">
        <v>127</v>
      </c>
      <c r="K212" s="103">
        <v>30</v>
      </c>
      <c r="L212" s="104" t="s">
        <v>100</v>
      </c>
      <c r="M212" s="104" t="s">
        <v>139</v>
      </c>
      <c r="N212" s="104"/>
      <c r="O212" s="109"/>
      <c r="P212" s="109"/>
      <c r="Q212" s="114" t="s">
        <v>496</v>
      </c>
    </row>
    <row r="213" spans="1:17" ht="15" customHeight="1">
      <c r="A213" s="97">
        <v>212</v>
      </c>
      <c r="B213" s="101" t="s">
        <v>212</v>
      </c>
      <c r="C213" s="101">
        <v>46148</v>
      </c>
      <c r="D213" s="101">
        <v>46177</v>
      </c>
      <c r="E213" s="113">
        <v>3628</v>
      </c>
      <c r="F213" s="98" t="s">
        <v>320</v>
      </c>
      <c r="G213" s="99" t="s">
        <v>144</v>
      </c>
      <c r="H213" s="100" t="s">
        <v>305</v>
      </c>
      <c r="I213" s="104" t="s">
        <v>215</v>
      </c>
      <c r="J213" s="102" t="s">
        <v>146</v>
      </c>
      <c r="K213" s="103">
        <v>7</v>
      </c>
      <c r="L213" s="104" t="s">
        <v>110</v>
      </c>
      <c r="M213" s="104" t="s">
        <v>147</v>
      </c>
      <c r="N213" s="104" t="s">
        <v>211</v>
      </c>
      <c r="O213" s="110">
        <v>370</v>
      </c>
      <c r="P213" s="110">
        <v>440</v>
      </c>
      <c r="Q213" s="114" t="s">
        <v>458</v>
      </c>
    </row>
    <row r="214" spans="1:17" ht="15" customHeight="1">
      <c r="A214" s="97">
        <v>213</v>
      </c>
      <c r="B214" s="101" t="s">
        <v>212</v>
      </c>
      <c r="C214" s="101">
        <v>46148</v>
      </c>
      <c r="D214" s="101">
        <v>46177</v>
      </c>
      <c r="E214" s="113">
        <v>3625</v>
      </c>
      <c r="F214" s="98" t="s">
        <v>321</v>
      </c>
      <c r="G214" s="99" t="s">
        <v>144</v>
      </c>
      <c r="H214" s="100" t="s">
        <v>306</v>
      </c>
      <c r="I214" s="104" t="s">
        <v>325</v>
      </c>
      <c r="J214" s="102" t="s">
        <v>146</v>
      </c>
      <c r="K214" s="103">
        <v>14</v>
      </c>
      <c r="L214" s="104" t="s">
        <v>110</v>
      </c>
      <c r="M214" s="104" t="s">
        <v>147</v>
      </c>
      <c r="N214" s="104" t="s">
        <v>211</v>
      </c>
      <c r="O214" s="110">
        <v>370</v>
      </c>
      <c r="P214" s="110">
        <v>440</v>
      </c>
      <c r="Q214" s="114" t="s">
        <v>458</v>
      </c>
    </row>
    <row r="215" spans="1:17" ht="15" customHeight="1">
      <c r="A215" s="97">
        <v>214</v>
      </c>
      <c r="B215" s="101" t="s">
        <v>212</v>
      </c>
      <c r="C215" s="101">
        <v>46148</v>
      </c>
      <c r="D215" s="101">
        <v>46177</v>
      </c>
      <c r="E215" s="113">
        <v>3632</v>
      </c>
      <c r="F215" s="98" t="s">
        <v>255</v>
      </c>
      <c r="G215" s="99" t="s">
        <v>144</v>
      </c>
      <c r="H215" s="100" t="s">
        <v>260</v>
      </c>
      <c r="I215" s="104" t="s">
        <v>288</v>
      </c>
      <c r="J215" s="102" t="s">
        <v>146</v>
      </c>
      <c r="K215" s="103">
        <v>14</v>
      </c>
      <c r="L215" s="104" t="s">
        <v>110</v>
      </c>
      <c r="M215" s="104" t="s">
        <v>147</v>
      </c>
      <c r="N215" s="104" t="s">
        <v>211</v>
      </c>
      <c r="O215" s="110">
        <v>370</v>
      </c>
      <c r="P215" s="110">
        <v>440</v>
      </c>
      <c r="Q215" s="114" t="s">
        <v>458</v>
      </c>
    </row>
    <row r="216" spans="1:17" ht="15" customHeight="1">
      <c r="A216" s="97">
        <v>215</v>
      </c>
      <c r="B216" s="101" t="s">
        <v>212</v>
      </c>
      <c r="C216" s="101">
        <v>46148</v>
      </c>
      <c r="D216" s="101">
        <v>46177</v>
      </c>
      <c r="E216" s="113">
        <v>3636</v>
      </c>
      <c r="F216" s="98" t="s">
        <v>244</v>
      </c>
      <c r="G216" s="99" t="s">
        <v>144</v>
      </c>
      <c r="H216" s="100" t="s">
        <v>248</v>
      </c>
      <c r="I216" s="104" t="s">
        <v>267</v>
      </c>
      <c r="J216" s="102" t="s">
        <v>146</v>
      </c>
      <c r="K216" s="103">
        <v>14</v>
      </c>
      <c r="L216" s="104" t="s">
        <v>110</v>
      </c>
      <c r="M216" s="104" t="s">
        <v>147</v>
      </c>
      <c r="N216" s="104" t="s">
        <v>211</v>
      </c>
      <c r="O216" s="110">
        <v>370</v>
      </c>
      <c r="P216" s="110">
        <v>440</v>
      </c>
      <c r="Q216" s="114" t="s">
        <v>458</v>
      </c>
    </row>
    <row r="217" spans="1:17" ht="15" customHeight="1">
      <c r="A217" s="97">
        <v>216</v>
      </c>
      <c r="B217" s="101" t="s">
        <v>212</v>
      </c>
      <c r="C217" s="101">
        <v>46148</v>
      </c>
      <c r="D217" s="101">
        <v>46177</v>
      </c>
      <c r="E217" s="113">
        <v>3627</v>
      </c>
      <c r="F217" s="98" t="s">
        <v>320</v>
      </c>
      <c r="G217" s="99" t="s">
        <v>144</v>
      </c>
      <c r="H217" s="100" t="s">
        <v>305</v>
      </c>
      <c r="I217" s="104" t="s">
        <v>215</v>
      </c>
      <c r="J217" s="102" t="s">
        <v>146</v>
      </c>
      <c r="K217" s="103">
        <v>7</v>
      </c>
      <c r="L217" s="104" t="s">
        <v>110</v>
      </c>
      <c r="M217" s="104" t="s">
        <v>147</v>
      </c>
      <c r="N217" s="104" t="s">
        <v>211</v>
      </c>
      <c r="O217" s="110">
        <v>370</v>
      </c>
      <c r="P217" s="110">
        <v>440</v>
      </c>
      <c r="Q217" s="114" t="s">
        <v>458</v>
      </c>
    </row>
    <row r="218" spans="1:17" ht="15" customHeight="1">
      <c r="A218" s="97">
        <v>217</v>
      </c>
      <c r="B218" s="101" t="s">
        <v>212</v>
      </c>
      <c r="C218" s="101">
        <v>46148</v>
      </c>
      <c r="D218" s="101">
        <v>46177</v>
      </c>
      <c r="E218" s="113">
        <v>3631</v>
      </c>
      <c r="F218" s="98" t="s">
        <v>322</v>
      </c>
      <c r="G218" s="99" t="s">
        <v>144</v>
      </c>
      <c r="H218" s="100" t="s">
        <v>324</v>
      </c>
      <c r="I218" s="104" t="s">
        <v>326</v>
      </c>
      <c r="J218" s="102" t="s">
        <v>146</v>
      </c>
      <c r="K218" s="103">
        <v>7</v>
      </c>
      <c r="L218" s="104" t="s">
        <v>110</v>
      </c>
      <c r="M218" s="104" t="s">
        <v>147</v>
      </c>
      <c r="N218" s="104" t="s">
        <v>211</v>
      </c>
      <c r="O218" s="110">
        <v>370</v>
      </c>
      <c r="P218" s="110">
        <v>440</v>
      </c>
      <c r="Q218" s="114" t="s">
        <v>458</v>
      </c>
    </row>
    <row r="219" spans="1:17" ht="15" customHeight="1">
      <c r="A219" s="97">
        <v>218</v>
      </c>
      <c r="B219" s="101" t="s">
        <v>212</v>
      </c>
      <c r="C219" s="101">
        <v>46148</v>
      </c>
      <c r="D219" s="101">
        <v>46177</v>
      </c>
      <c r="E219" s="113">
        <v>3624</v>
      </c>
      <c r="F219" s="98" t="s">
        <v>321</v>
      </c>
      <c r="G219" s="99" t="s">
        <v>144</v>
      </c>
      <c r="H219" s="100" t="s">
        <v>306</v>
      </c>
      <c r="I219" s="104" t="s">
        <v>325</v>
      </c>
      <c r="J219" s="102" t="s">
        <v>146</v>
      </c>
      <c r="K219" s="103">
        <v>14</v>
      </c>
      <c r="L219" s="104" t="s">
        <v>110</v>
      </c>
      <c r="M219" s="104" t="s">
        <v>147</v>
      </c>
      <c r="N219" s="104" t="s">
        <v>211</v>
      </c>
      <c r="O219" s="110">
        <v>370</v>
      </c>
      <c r="P219" s="110">
        <v>440</v>
      </c>
      <c r="Q219" s="114" t="s">
        <v>458</v>
      </c>
    </row>
    <row r="220" spans="1:17" ht="15" customHeight="1">
      <c r="A220" s="97">
        <v>219</v>
      </c>
      <c r="B220" s="101" t="s">
        <v>212</v>
      </c>
      <c r="C220" s="101">
        <v>46148</v>
      </c>
      <c r="D220" s="101">
        <v>46177</v>
      </c>
      <c r="E220" s="113">
        <v>3633</v>
      </c>
      <c r="F220" s="98" t="s">
        <v>255</v>
      </c>
      <c r="G220" s="99" t="s">
        <v>144</v>
      </c>
      <c r="H220" s="100" t="s">
        <v>260</v>
      </c>
      <c r="I220" s="104" t="s">
        <v>288</v>
      </c>
      <c r="J220" s="102" t="s">
        <v>146</v>
      </c>
      <c r="K220" s="103">
        <v>14</v>
      </c>
      <c r="L220" s="104" t="s">
        <v>110</v>
      </c>
      <c r="M220" s="104" t="s">
        <v>147</v>
      </c>
      <c r="N220" s="104" t="s">
        <v>211</v>
      </c>
      <c r="O220" s="110">
        <v>370</v>
      </c>
      <c r="P220" s="110">
        <v>440</v>
      </c>
      <c r="Q220" s="114" t="s">
        <v>458</v>
      </c>
    </row>
    <row r="221" spans="1:17" ht="15" customHeight="1">
      <c r="A221" s="97">
        <v>220</v>
      </c>
      <c r="B221" s="101" t="s">
        <v>212</v>
      </c>
      <c r="C221" s="101">
        <v>46148</v>
      </c>
      <c r="D221" s="101">
        <v>46177</v>
      </c>
      <c r="E221" s="112" t="s">
        <v>452</v>
      </c>
      <c r="F221" s="98" t="s">
        <v>244</v>
      </c>
      <c r="G221" s="99" t="s">
        <v>144</v>
      </c>
      <c r="H221" s="100" t="s">
        <v>248</v>
      </c>
      <c r="I221" s="104" t="s">
        <v>267</v>
      </c>
      <c r="J221" s="102" t="s">
        <v>146</v>
      </c>
      <c r="K221" s="103">
        <v>14</v>
      </c>
      <c r="L221" s="104" t="s">
        <v>110</v>
      </c>
      <c r="M221" s="104" t="s">
        <v>147</v>
      </c>
      <c r="N221" s="104" t="s">
        <v>211</v>
      </c>
      <c r="O221" s="110">
        <v>370</v>
      </c>
      <c r="P221" s="110">
        <v>440</v>
      </c>
      <c r="Q221" s="114" t="s">
        <v>458</v>
      </c>
    </row>
    <row r="222" spans="1:17" ht="15" customHeight="1">
      <c r="A222" s="97">
        <v>221</v>
      </c>
      <c r="B222" s="101" t="s">
        <v>212</v>
      </c>
      <c r="C222" s="101">
        <v>46148</v>
      </c>
      <c r="D222" s="101">
        <v>46177</v>
      </c>
      <c r="E222" s="113">
        <v>3634</v>
      </c>
      <c r="F222" s="98" t="s">
        <v>323</v>
      </c>
      <c r="G222" s="99" t="s">
        <v>144</v>
      </c>
      <c r="H222" s="100" t="s">
        <v>307</v>
      </c>
      <c r="I222" s="104" t="s">
        <v>327</v>
      </c>
      <c r="J222" s="102" t="s">
        <v>146</v>
      </c>
      <c r="K222" s="103">
        <v>14</v>
      </c>
      <c r="L222" s="104" t="s">
        <v>110</v>
      </c>
      <c r="M222" s="104" t="s">
        <v>147</v>
      </c>
      <c r="N222" s="104" t="s">
        <v>211</v>
      </c>
      <c r="O222" s="110">
        <v>370</v>
      </c>
      <c r="P222" s="110">
        <v>440</v>
      </c>
      <c r="Q222" s="114" t="s">
        <v>458</v>
      </c>
    </row>
    <row r="223" spans="1:17" ht="15" customHeight="1">
      <c r="A223" s="97">
        <v>222</v>
      </c>
      <c r="B223" s="101" t="s">
        <v>212</v>
      </c>
      <c r="C223" s="101">
        <v>46148</v>
      </c>
      <c r="D223" s="101">
        <v>46177</v>
      </c>
      <c r="E223" s="113">
        <v>3635</v>
      </c>
      <c r="F223" s="98" t="s">
        <v>221</v>
      </c>
      <c r="G223" s="99" t="s">
        <v>144</v>
      </c>
      <c r="H223" s="100" t="s">
        <v>196</v>
      </c>
      <c r="I223" s="104" t="s">
        <v>203</v>
      </c>
      <c r="J223" s="102" t="s">
        <v>146</v>
      </c>
      <c r="K223" s="103">
        <v>7</v>
      </c>
      <c r="L223" s="104" t="s">
        <v>110</v>
      </c>
      <c r="M223" s="104" t="s">
        <v>147</v>
      </c>
      <c r="N223" s="104" t="s">
        <v>211</v>
      </c>
      <c r="O223" s="110">
        <v>370</v>
      </c>
      <c r="P223" s="110">
        <v>440</v>
      </c>
      <c r="Q223" s="114" t="s">
        <v>458</v>
      </c>
    </row>
    <row r="224" spans="1:17" ht="15" customHeight="1">
      <c r="A224" s="97">
        <v>223</v>
      </c>
      <c r="B224" s="101" t="s">
        <v>212</v>
      </c>
      <c r="C224" s="101">
        <v>46148</v>
      </c>
      <c r="D224" s="101">
        <v>46177</v>
      </c>
      <c r="E224" s="112" t="s">
        <v>454</v>
      </c>
      <c r="F224" s="98" t="s">
        <v>320</v>
      </c>
      <c r="G224" s="99" t="s">
        <v>144</v>
      </c>
      <c r="H224" s="100" t="s">
        <v>305</v>
      </c>
      <c r="I224" s="104" t="s">
        <v>215</v>
      </c>
      <c r="J224" s="102" t="s">
        <v>146</v>
      </c>
      <c r="K224" s="103">
        <v>7</v>
      </c>
      <c r="L224" s="104" t="s">
        <v>110</v>
      </c>
      <c r="M224" s="104" t="s">
        <v>147</v>
      </c>
      <c r="N224" s="104" t="s">
        <v>211</v>
      </c>
      <c r="O224" s="110">
        <v>370</v>
      </c>
      <c r="P224" s="110">
        <v>440</v>
      </c>
      <c r="Q224" s="114" t="s">
        <v>458</v>
      </c>
    </row>
    <row r="225" spans="1:17" ht="15" customHeight="1">
      <c r="A225" s="97">
        <v>224</v>
      </c>
      <c r="B225" s="101" t="s">
        <v>212</v>
      </c>
      <c r="C225" s="101">
        <v>46148</v>
      </c>
      <c r="D225" s="101">
        <v>46177</v>
      </c>
      <c r="E225" s="113">
        <v>3630</v>
      </c>
      <c r="F225" s="98" t="s">
        <v>322</v>
      </c>
      <c r="G225" s="99" t="s">
        <v>144</v>
      </c>
      <c r="H225" s="100" t="s">
        <v>324</v>
      </c>
      <c r="I225" s="104" t="s">
        <v>326</v>
      </c>
      <c r="J225" s="102" t="s">
        <v>146</v>
      </c>
      <c r="K225" s="103">
        <v>7</v>
      </c>
      <c r="L225" s="104" t="s">
        <v>110</v>
      </c>
      <c r="M225" s="104" t="s">
        <v>147</v>
      </c>
      <c r="N225" s="104" t="s">
        <v>211</v>
      </c>
      <c r="O225" s="110">
        <v>370</v>
      </c>
      <c r="P225" s="110">
        <v>440</v>
      </c>
      <c r="Q225" s="114" t="s">
        <v>458</v>
      </c>
    </row>
    <row r="226" spans="1:17" ht="15" customHeight="1">
      <c r="A226" s="97">
        <v>225</v>
      </c>
      <c r="B226" s="101" t="s">
        <v>212</v>
      </c>
      <c r="C226" s="101">
        <v>46148</v>
      </c>
      <c r="D226" s="101">
        <v>46177</v>
      </c>
      <c r="E226" s="113">
        <v>3626</v>
      </c>
      <c r="F226" s="98" t="s">
        <v>321</v>
      </c>
      <c r="G226" s="99" t="s">
        <v>144</v>
      </c>
      <c r="H226" s="100" t="s">
        <v>306</v>
      </c>
      <c r="I226" s="104" t="s">
        <v>325</v>
      </c>
      <c r="J226" s="102" t="s">
        <v>146</v>
      </c>
      <c r="K226" s="103">
        <v>14</v>
      </c>
      <c r="L226" s="104" t="s">
        <v>110</v>
      </c>
      <c r="M226" s="104" t="s">
        <v>147</v>
      </c>
      <c r="N226" s="104" t="s">
        <v>211</v>
      </c>
      <c r="O226" s="110">
        <v>370</v>
      </c>
      <c r="P226" s="110">
        <v>440</v>
      </c>
      <c r="Q226" s="114" t="s">
        <v>458</v>
      </c>
    </row>
    <row r="227" spans="1:17" ht="15" customHeight="1">
      <c r="A227" s="97">
        <v>226</v>
      </c>
      <c r="B227" s="101" t="s">
        <v>212</v>
      </c>
      <c r="C227" s="101">
        <v>46148</v>
      </c>
      <c r="D227" s="101">
        <v>46177</v>
      </c>
      <c r="E227" s="112" t="s">
        <v>453</v>
      </c>
      <c r="F227" s="98" t="s">
        <v>255</v>
      </c>
      <c r="G227" s="99" t="s">
        <v>144</v>
      </c>
      <c r="H227" s="100" t="s">
        <v>260</v>
      </c>
      <c r="I227" s="104" t="s">
        <v>288</v>
      </c>
      <c r="J227" s="102" t="s">
        <v>146</v>
      </c>
      <c r="K227" s="103">
        <v>14</v>
      </c>
      <c r="L227" s="104" t="s">
        <v>110</v>
      </c>
      <c r="M227" s="104" t="s">
        <v>147</v>
      </c>
      <c r="N227" s="104" t="s">
        <v>211</v>
      </c>
      <c r="O227" s="110">
        <v>370</v>
      </c>
      <c r="P227" s="110">
        <v>440</v>
      </c>
      <c r="Q227" s="114" t="s">
        <v>458</v>
      </c>
    </row>
    <row r="228" spans="1:17" ht="15" customHeight="1">
      <c r="A228" s="97">
        <v>227</v>
      </c>
      <c r="B228" s="101" t="s">
        <v>184</v>
      </c>
      <c r="C228" s="101">
        <v>46148</v>
      </c>
      <c r="D228" s="117">
        <v>46177</v>
      </c>
      <c r="E228" s="106">
        <v>130</v>
      </c>
      <c r="F228" s="98" t="s">
        <v>328</v>
      </c>
      <c r="G228" s="99" t="s">
        <v>144</v>
      </c>
      <c r="H228" s="100" t="s">
        <v>171</v>
      </c>
      <c r="I228" s="104" t="s">
        <v>329</v>
      </c>
      <c r="J228" s="102" t="s">
        <v>111</v>
      </c>
      <c r="K228" s="103">
        <v>30</v>
      </c>
      <c r="L228" s="104" t="s">
        <v>110</v>
      </c>
      <c r="M228" s="104" t="s">
        <v>139</v>
      </c>
      <c r="N228" s="104"/>
      <c r="O228" s="109"/>
      <c r="P228" s="109"/>
      <c r="Q228" s="105" t="s">
        <v>458</v>
      </c>
    </row>
    <row r="229" spans="1:17" ht="15" customHeight="1">
      <c r="A229" s="97">
        <v>228</v>
      </c>
      <c r="B229" s="101" t="s">
        <v>184</v>
      </c>
      <c r="C229" s="101">
        <v>46148</v>
      </c>
      <c r="D229" s="117">
        <v>46177</v>
      </c>
      <c r="E229" s="106">
        <v>131</v>
      </c>
      <c r="F229" s="98" t="s">
        <v>164</v>
      </c>
      <c r="G229" s="99" t="s">
        <v>144</v>
      </c>
      <c r="H229" s="100">
        <v>12</v>
      </c>
      <c r="I229" s="104" t="s">
        <v>281</v>
      </c>
      <c r="J229" s="102" t="s">
        <v>111</v>
      </c>
      <c r="K229" s="103">
        <v>30</v>
      </c>
      <c r="L229" s="104" t="s">
        <v>110</v>
      </c>
      <c r="M229" s="104" t="s">
        <v>139</v>
      </c>
      <c r="N229" s="104"/>
      <c r="O229" s="109"/>
      <c r="P229" s="109"/>
      <c r="Q229" s="105" t="s">
        <v>458</v>
      </c>
    </row>
    <row r="230" spans="1:17" ht="15" customHeight="1">
      <c r="A230" s="97">
        <v>229</v>
      </c>
      <c r="B230" s="101" t="s">
        <v>184</v>
      </c>
      <c r="C230" s="101">
        <v>46148</v>
      </c>
      <c r="D230" s="117">
        <v>46177</v>
      </c>
      <c r="E230" s="106">
        <v>129</v>
      </c>
      <c r="F230" s="98" t="s">
        <v>164</v>
      </c>
      <c r="G230" s="99" t="s">
        <v>144</v>
      </c>
      <c r="H230" s="100">
        <v>12</v>
      </c>
      <c r="I230" s="104" t="s">
        <v>281</v>
      </c>
      <c r="J230" s="102" t="s">
        <v>111</v>
      </c>
      <c r="K230" s="103">
        <v>30</v>
      </c>
      <c r="L230" s="104" t="s">
        <v>110</v>
      </c>
      <c r="M230" s="104" t="s">
        <v>139</v>
      </c>
      <c r="N230" s="104"/>
      <c r="O230" s="109"/>
      <c r="P230" s="109"/>
      <c r="Q230" s="105" t="s">
        <v>458</v>
      </c>
    </row>
    <row r="231" spans="1:17" ht="15" customHeight="1">
      <c r="A231" s="97">
        <v>230</v>
      </c>
      <c r="B231" s="101" t="s">
        <v>184</v>
      </c>
      <c r="C231" s="101">
        <v>46148</v>
      </c>
      <c r="D231" s="117">
        <v>46177</v>
      </c>
      <c r="E231" s="106">
        <v>63810</v>
      </c>
      <c r="F231" s="98" t="s">
        <v>130</v>
      </c>
      <c r="G231" s="99" t="s">
        <v>101</v>
      </c>
      <c r="H231" s="100" t="s">
        <v>131</v>
      </c>
      <c r="I231" s="104" t="s">
        <v>317</v>
      </c>
      <c r="J231" s="102" t="s">
        <v>250</v>
      </c>
      <c r="K231" s="103">
        <v>30</v>
      </c>
      <c r="L231" s="104" t="s">
        <v>110</v>
      </c>
      <c r="M231" s="104" t="s">
        <v>139</v>
      </c>
      <c r="N231" s="104"/>
      <c r="O231" s="109"/>
      <c r="P231" s="109"/>
      <c r="Q231" s="105" t="s">
        <v>458</v>
      </c>
    </row>
    <row r="232" spans="1:17" ht="15" customHeight="1">
      <c r="A232" s="97">
        <v>231</v>
      </c>
      <c r="B232" s="101" t="s">
        <v>184</v>
      </c>
      <c r="C232" s="101">
        <v>46148</v>
      </c>
      <c r="D232" s="117">
        <v>46177</v>
      </c>
      <c r="E232" s="106">
        <v>109</v>
      </c>
      <c r="F232" s="98" t="s">
        <v>169</v>
      </c>
      <c r="G232" s="99" t="s">
        <v>144</v>
      </c>
      <c r="H232" s="100" t="s">
        <v>171</v>
      </c>
      <c r="I232" s="104" t="s">
        <v>187</v>
      </c>
      <c r="J232" s="102" t="s">
        <v>111</v>
      </c>
      <c r="K232" s="103">
        <v>30</v>
      </c>
      <c r="L232" s="104" t="s">
        <v>110</v>
      </c>
      <c r="M232" s="104" t="s">
        <v>139</v>
      </c>
      <c r="N232" s="104"/>
      <c r="O232" s="109"/>
      <c r="P232" s="109"/>
      <c r="Q232" s="105" t="s">
        <v>458</v>
      </c>
    </row>
    <row r="233" spans="1:17" ht="15" customHeight="1">
      <c r="A233" s="97">
        <v>232</v>
      </c>
      <c r="B233" s="101" t="s">
        <v>497</v>
      </c>
      <c r="C233" s="101">
        <v>46175</v>
      </c>
      <c r="D233" s="117">
        <v>46177</v>
      </c>
      <c r="E233" s="106" t="s">
        <v>330</v>
      </c>
      <c r="F233" s="98" t="s">
        <v>133</v>
      </c>
      <c r="G233" s="99" t="s">
        <v>101</v>
      </c>
      <c r="H233" s="100" t="s">
        <v>128</v>
      </c>
      <c r="I233" s="104" t="s">
        <v>316</v>
      </c>
      <c r="J233" s="102" t="s">
        <v>127</v>
      </c>
      <c r="K233" s="103">
        <v>30</v>
      </c>
      <c r="L233" s="104" t="s">
        <v>100</v>
      </c>
      <c r="M233" s="104" t="s">
        <v>139</v>
      </c>
      <c r="N233" s="104"/>
      <c r="O233" s="109"/>
      <c r="P233" s="109"/>
      <c r="Q233" s="114" t="s">
        <v>496</v>
      </c>
    </row>
    <row r="234" spans="1:17">
      <c r="A234" s="97">
        <v>233</v>
      </c>
      <c r="B234" s="101" t="s">
        <v>497</v>
      </c>
      <c r="C234" s="101">
        <v>46175</v>
      </c>
      <c r="D234" s="117">
        <v>46178</v>
      </c>
      <c r="E234" s="98">
        <v>3640</v>
      </c>
      <c r="F234" s="98" t="s">
        <v>551</v>
      </c>
      <c r="G234" s="99" t="s">
        <v>144</v>
      </c>
      <c r="H234" s="100" t="s">
        <v>552</v>
      </c>
      <c r="I234" s="104" t="s">
        <v>537</v>
      </c>
      <c r="J234" s="102" t="s">
        <v>146</v>
      </c>
      <c r="K234" s="103">
        <v>7</v>
      </c>
      <c r="L234" s="104" t="s">
        <v>100</v>
      </c>
      <c r="M234" s="104" t="s">
        <v>147</v>
      </c>
      <c r="N234" s="104" t="s">
        <v>211</v>
      </c>
      <c r="O234" s="110">
        <v>0</v>
      </c>
      <c r="P234" s="110">
        <v>20</v>
      </c>
      <c r="Q234" s="114" t="s">
        <v>496</v>
      </c>
    </row>
    <row r="235" spans="1:17" ht="15" customHeight="1">
      <c r="A235" s="97">
        <v>234</v>
      </c>
      <c r="B235" s="101" t="s">
        <v>212</v>
      </c>
      <c r="C235" s="101">
        <v>46148</v>
      </c>
      <c r="D235" s="101">
        <v>46178</v>
      </c>
      <c r="E235" s="113">
        <v>3706</v>
      </c>
      <c r="F235" s="98" t="s">
        <v>221</v>
      </c>
      <c r="G235" s="99" t="s">
        <v>144</v>
      </c>
      <c r="H235" s="100" t="s">
        <v>196</v>
      </c>
      <c r="I235" s="104" t="s">
        <v>203</v>
      </c>
      <c r="J235" s="102" t="s">
        <v>146</v>
      </c>
      <c r="K235" s="103">
        <v>7</v>
      </c>
      <c r="L235" s="104" t="s">
        <v>110</v>
      </c>
      <c r="M235" s="104" t="s">
        <v>147</v>
      </c>
      <c r="N235" s="104" t="s">
        <v>211</v>
      </c>
      <c r="O235" s="110">
        <v>800</v>
      </c>
      <c r="P235" s="110">
        <v>920</v>
      </c>
      <c r="Q235" s="114" t="s">
        <v>458</v>
      </c>
    </row>
    <row r="236" spans="1:17" ht="15" customHeight="1">
      <c r="A236" s="97">
        <v>235</v>
      </c>
      <c r="B236" s="101" t="s">
        <v>212</v>
      </c>
      <c r="C236" s="101">
        <v>46148</v>
      </c>
      <c r="D236" s="101">
        <v>46178</v>
      </c>
      <c r="E236" s="113">
        <v>3645</v>
      </c>
      <c r="F236" s="98" t="s">
        <v>244</v>
      </c>
      <c r="G236" s="99" t="s">
        <v>144</v>
      </c>
      <c r="H236" s="100" t="s">
        <v>248</v>
      </c>
      <c r="I236" s="104" t="s">
        <v>267</v>
      </c>
      <c r="J236" s="102" t="s">
        <v>146</v>
      </c>
      <c r="K236" s="103">
        <v>14</v>
      </c>
      <c r="L236" s="104" t="s">
        <v>110</v>
      </c>
      <c r="M236" s="104" t="s">
        <v>147</v>
      </c>
      <c r="N236" s="104" t="s">
        <v>211</v>
      </c>
      <c r="O236" s="110">
        <v>800</v>
      </c>
      <c r="P236" s="110">
        <v>920</v>
      </c>
      <c r="Q236" s="114" t="s">
        <v>458</v>
      </c>
    </row>
    <row r="237" spans="1:17" ht="15" customHeight="1">
      <c r="A237" s="97">
        <v>236</v>
      </c>
      <c r="B237" s="101" t="s">
        <v>212</v>
      </c>
      <c r="C237" s="101">
        <v>46148</v>
      </c>
      <c r="D237" s="101">
        <v>46178</v>
      </c>
      <c r="E237" s="113">
        <v>3702</v>
      </c>
      <c r="F237" s="98" t="s">
        <v>320</v>
      </c>
      <c r="G237" s="99" t="s">
        <v>144</v>
      </c>
      <c r="H237" s="100" t="s">
        <v>334</v>
      </c>
      <c r="I237" s="104" t="s">
        <v>215</v>
      </c>
      <c r="J237" s="102" t="s">
        <v>146</v>
      </c>
      <c r="K237" s="103">
        <v>7</v>
      </c>
      <c r="L237" s="104" t="s">
        <v>110</v>
      </c>
      <c r="M237" s="104" t="s">
        <v>147</v>
      </c>
      <c r="N237" s="104" t="s">
        <v>211</v>
      </c>
      <c r="O237" s="110">
        <v>800</v>
      </c>
      <c r="P237" s="110">
        <v>920</v>
      </c>
      <c r="Q237" s="114" t="s">
        <v>458</v>
      </c>
    </row>
    <row r="238" spans="1:17" ht="15" customHeight="1">
      <c r="A238" s="97">
        <v>237</v>
      </c>
      <c r="B238" s="101" t="s">
        <v>212</v>
      </c>
      <c r="C238" s="101">
        <v>46148</v>
      </c>
      <c r="D238" s="101">
        <v>46178</v>
      </c>
      <c r="E238" s="113">
        <v>3709</v>
      </c>
      <c r="F238" s="98" t="s">
        <v>223</v>
      </c>
      <c r="G238" s="99" t="s">
        <v>144</v>
      </c>
      <c r="H238" s="100" t="s">
        <v>197</v>
      </c>
      <c r="I238" s="104" t="s">
        <v>204</v>
      </c>
      <c r="J238" s="102" t="s">
        <v>146</v>
      </c>
      <c r="K238" s="103">
        <v>7</v>
      </c>
      <c r="L238" s="104" t="s">
        <v>110</v>
      </c>
      <c r="M238" s="104" t="s">
        <v>147</v>
      </c>
      <c r="N238" s="104" t="s">
        <v>211</v>
      </c>
      <c r="O238" s="110">
        <v>800</v>
      </c>
      <c r="P238" s="110">
        <v>920</v>
      </c>
      <c r="Q238" s="114" t="s">
        <v>458</v>
      </c>
    </row>
    <row r="239" spans="1:17" ht="15" customHeight="1">
      <c r="A239" s="97">
        <v>238</v>
      </c>
      <c r="B239" s="101" t="s">
        <v>212</v>
      </c>
      <c r="C239" s="101">
        <v>46148</v>
      </c>
      <c r="D239" s="101">
        <v>46178</v>
      </c>
      <c r="E239" s="113">
        <v>3708</v>
      </c>
      <c r="F239" s="98" t="s">
        <v>331</v>
      </c>
      <c r="G239" s="99" t="s">
        <v>144</v>
      </c>
      <c r="H239" s="100" t="s">
        <v>335</v>
      </c>
      <c r="I239" s="104" t="s">
        <v>337</v>
      </c>
      <c r="J239" s="102" t="s">
        <v>146</v>
      </c>
      <c r="K239" s="103">
        <v>14</v>
      </c>
      <c r="L239" s="104" t="s">
        <v>110</v>
      </c>
      <c r="M239" s="104" t="s">
        <v>147</v>
      </c>
      <c r="N239" s="104" t="s">
        <v>211</v>
      </c>
      <c r="O239" s="110">
        <v>800</v>
      </c>
      <c r="P239" s="110">
        <v>920</v>
      </c>
      <c r="Q239" s="114" t="s">
        <v>458</v>
      </c>
    </row>
    <row r="240" spans="1:17" ht="15" customHeight="1">
      <c r="A240" s="97">
        <v>239</v>
      </c>
      <c r="B240" s="101" t="s">
        <v>212</v>
      </c>
      <c r="C240" s="101">
        <v>46148</v>
      </c>
      <c r="D240" s="101">
        <v>46178</v>
      </c>
      <c r="E240" s="113">
        <v>3643</v>
      </c>
      <c r="F240" s="98" t="s">
        <v>332</v>
      </c>
      <c r="G240" s="99" t="s">
        <v>144</v>
      </c>
      <c r="H240" s="100" t="s">
        <v>336</v>
      </c>
      <c r="I240" s="104" t="s">
        <v>338</v>
      </c>
      <c r="J240" s="102" t="s">
        <v>146</v>
      </c>
      <c r="K240" s="103">
        <v>7</v>
      </c>
      <c r="L240" s="104" t="s">
        <v>110</v>
      </c>
      <c r="M240" s="104" t="s">
        <v>147</v>
      </c>
      <c r="N240" s="104" t="s">
        <v>211</v>
      </c>
      <c r="O240" s="110">
        <v>800</v>
      </c>
      <c r="P240" s="110">
        <v>920</v>
      </c>
      <c r="Q240" s="114" t="s">
        <v>458</v>
      </c>
    </row>
    <row r="241" spans="1:17" ht="15" customHeight="1">
      <c r="A241" s="97">
        <v>240</v>
      </c>
      <c r="B241" s="101" t="s">
        <v>212</v>
      </c>
      <c r="C241" s="101">
        <v>46148</v>
      </c>
      <c r="D241" s="101">
        <v>46178</v>
      </c>
      <c r="E241" s="113">
        <v>3649</v>
      </c>
      <c r="F241" s="98" t="s">
        <v>245</v>
      </c>
      <c r="G241" s="99" t="s">
        <v>144</v>
      </c>
      <c r="H241" s="100" t="s">
        <v>249</v>
      </c>
      <c r="I241" s="104" t="s">
        <v>274</v>
      </c>
      <c r="J241" s="102" t="s">
        <v>146</v>
      </c>
      <c r="K241" s="103">
        <v>7</v>
      </c>
      <c r="L241" s="104" t="s">
        <v>110</v>
      </c>
      <c r="M241" s="104" t="s">
        <v>147</v>
      </c>
      <c r="N241" s="104" t="s">
        <v>211</v>
      </c>
      <c r="O241" s="110">
        <v>800</v>
      </c>
      <c r="P241" s="110">
        <v>920</v>
      </c>
      <c r="Q241" s="114" t="s">
        <v>458</v>
      </c>
    </row>
    <row r="242" spans="1:17" ht="15" customHeight="1">
      <c r="A242" s="97">
        <v>241</v>
      </c>
      <c r="B242" s="101" t="s">
        <v>212</v>
      </c>
      <c r="C242" s="101">
        <v>46148</v>
      </c>
      <c r="D242" s="101">
        <v>46178</v>
      </c>
      <c r="E242" s="113">
        <v>3704</v>
      </c>
      <c r="F242" s="98" t="s">
        <v>284</v>
      </c>
      <c r="G242" s="99" t="s">
        <v>144</v>
      </c>
      <c r="H242" s="100" t="s">
        <v>247</v>
      </c>
      <c r="I242" s="104" t="s">
        <v>272</v>
      </c>
      <c r="J242" s="102" t="s">
        <v>146</v>
      </c>
      <c r="K242" s="103">
        <v>14</v>
      </c>
      <c r="L242" s="104" t="s">
        <v>110</v>
      </c>
      <c r="M242" s="104" t="s">
        <v>147</v>
      </c>
      <c r="N242" s="104" t="s">
        <v>211</v>
      </c>
      <c r="O242" s="110">
        <v>800</v>
      </c>
      <c r="P242" s="110">
        <v>920</v>
      </c>
      <c r="Q242" s="114" t="s">
        <v>458</v>
      </c>
    </row>
    <row r="243" spans="1:17" ht="15" customHeight="1">
      <c r="A243" s="97">
        <v>242</v>
      </c>
      <c r="B243" s="101" t="s">
        <v>212</v>
      </c>
      <c r="C243" s="101">
        <v>46148</v>
      </c>
      <c r="D243" s="101">
        <v>46178</v>
      </c>
      <c r="E243" s="113">
        <v>3705</v>
      </c>
      <c r="F243" s="98" t="s">
        <v>221</v>
      </c>
      <c r="G243" s="99" t="s">
        <v>144</v>
      </c>
      <c r="H243" s="100" t="s">
        <v>196</v>
      </c>
      <c r="I243" s="104" t="s">
        <v>203</v>
      </c>
      <c r="J243" s="102" t="s">
        <v>146</v>
      </c>
      <c r="K243" s="103">
        <v>7</v>
      </c>
      <c r="L243" s="104" t="s">
        <v>110</v>
      </c>
      <c r="M243" s="104" t="s">
        <v>147</v>
      </c>
      <c r="N243" s="104" t="s">
        <v>211</v>
      </c>
      <c r="O243" s="110">
        <v>800</v>
      </c>
      <c r="P243" s="110">
        <v>920</v>
      </c>
      <c r="Q243" s="114" t="s">
        <v>458</v>
      </c>
    </row>
    <row r="244" spans="1:17" ht="15" customHeight="1">
      <c r="A244" s="97">
        <v>243</v>
      </c>
      <c r="B244" s="101" t="s">
        <v>212</v>
      </c>
      <c r="C244" s="101">
        <v>46148</v>
      </c>
      <c r="D244" s="101">
        <v>46178</v>
      </c>
      <c r="E244" s="113">
        <v>3644</v>
      </c>
      <c r="F244" s="98" t="s">
        <v>244</v>
      </c>
      <c r="G244" s="99" t="s">
        <v>144</v>
      </c>
      <c r="H244" s="100" t="s">
        <v>248</v>
      </c>
      <c r="I244" s="104" t="s">
        <v>267</v>
      </c>
      <c r="J244" s="102" t="s">
        <v>146</v>
      </c>
      <c r="K244" s="103">
        <v>14</v>
      </c>
      <c r="L244" s="104" t="s">
        <v>110</v>
      </c>
      <c r="M244" s="104" t="s">
        <v>147</v>
      </c>
      <c r="N244" s="104" t="s">
        <v>211</v>
      </c>
      <c r="O244" s="110">
        <v>800</v>
      </c>
      <c r="P244" s="110">
        <v>920</v>
      </c>
      <c r="Q244" s="114" t="s">
        <v>458</v>
      </c>
    </row>
    <row r="245" spans="1:17" ht="15" customHeight="1">
      <c r="A245" s="97">
        <v>244</v>
      </c>
      <c r="B245" s="101" t="s">
        <v>212</v>
      </c>
      <c r="C245" s="101">
        <v>46148</v>
      </c>
      <c r="D245" s="101">
        <v>46178</v>
      </c>
      <c r="E245" s="113" t="s">
        <v>455</v>
      </c>
      <c r="F245" s="98" t="s">
        <v>223</v>
      </c>
      <c r="G245" s="99" t="s">
        <v>144</v>
      </c>
      <c r="H245" s="100" t="s">
        <v>197</v>
      </c>
      <c r="I245" s="104" t="s">
        <v>204</v>
      </c>
      <c r="J245" s="102" t="s">
        <v>146</v>
      </c>
      <c r="K245" s="103">
        <v>7</v>
      </c>
      <c r="L245" s="104" t="s">
        <v>110</v>
      </c>
      <c r="M245" s="104" t="s">
        <v>147</v>
      </c>
      <c r="N245" s="104" t="s">
        <v>211</v>
      </c>
      <c r="O245" s="110">
        <v>800</v>
      </c>
      <c r="P245" s="110">
        <v>920</v>
      </c>
      <c r="Q245" s="114" t="s">
        <v>458</v>
      </c>
    </row>
    <row r="246" spans="1:17" ht="15" customHeight="1">
      <c r="A246" s="97">
        <v>245</v>
      </c>
      <c r="B246" s="101" t="s">
        <v>212</v>
      </c>
      <c r="C246" s="101">
        <v>46148</v>
      </c>
      <c r="D246" s="101">
        <v>46178</v>
      </c>
      <c r="E246" s="113">
        <v>3701</v>
      </c>
      <c r="F246" s="98" t="s">
        <v>320</v>
      </c>
      <c r="G246" s="99" t="s">
        <v>144</v>
      </c>
      <c r="H246" s="100" t="s">
        <v>334</v>
      </c>
      <c r="I246" s="104" t="s">
        <v>215</v>
      </c>
      <c r="J246" s="102" t="s">
        <v>146</v>
      </c>
      <c r="K246" s="103">
        <v>7</v>
      </c>
      <c r="L246" s="104" t="s">
        <v>110</v>
      </c>
      <c r="M246" s="104" t="s">
        <v>147</v>
      </c>
      <c r="N246" s="104" t="s">
        <v>211</v>
      </c>
      <c r="O246" s="110">
        <v>800</v>
      </c>
      <c r="P246" s="110">
        <v>920</v>
      </c>
      <c r="Q246" s="114" t="s">
        <v>458</v>
      </c>
    </row>
    <row r="247" spans="1:17" ht="15" customHeight="1">
      <c r="A247" s="97">
        <v>246</v>
      </c>
      <c r="B247" s="101" t="s">
        <v>212</v>
      </c>
      <c r="C247" s="101">
        <v>46148</v>
      </c>
      <c r="D247" s="101">
        <v>46178</v>
      </c>
      <c r="E247" s="113">
        <v>3648</v>
      </c>
      <c r="F247" s="98" t="s">
        <v>245</v>
      </c>
      <c r="G247" s="99" t="s">
        <v>144</v>
      </c>
      <c r="H247" s="100" t="s">
        <v>249</v>
      </c>
      <c r="I247" s="104" t="s">
        <v>274</v>
      </c>
      <c r="J247" s="102" t="s">
        <v>146</v>
      </c>
      <c r="K247" s="103">
        <v>7</v>
      </c>
      <c r="L247" s="104" t="s">
        <v>110</v>
      </c>
      <c r="M247" s="104" t="s">
        <v>147</v>
      </c>
      <c r="N247" s="104" t="s">
        <v>211</v>
      </c>
      <c r="O247" s="110">
        <v>800</v>
      </c>
      <c r="P247" s="110">
        <v>920</v>
      </c>
      <c r="Q247" s="114" t="s">
        <v>458</v>
      </c>
    </row>
    <row r="248" spans="1:17" ht="15" customHeight="1">
      <c r="A248" s="97">
        <v>247</v>
      </c>
      <c r="B248" s="101" t="s">
        <v>212</v>
      </c>
      <c r="C248" s="101">
        <v>46148</v>
      </c>
      <c r="D248" s="101">
        <v>46178</v>
      </c>
      <c r="E248" s="113">
        <v>3707</v>
      </c>
      <c r="F248" s="98" t="s">
        <v>333</v>
      </c>
      <c r="G248" s="99" t="s">
        <v>144</v>
      </c>
      <c r="H248" s="100" t="s">
        <v>335</v>
      </c>
      <c r="I248" s="104" t="s">
        <v>337</v>
      </c>
      <c r="J248" s="102" t="s">
        <v>146</v>
      </c>
      <c r="K248" s="103">
        <v>14</v>
      </c>
      <c r="L248" s="104" t="s">
        <v>110</v>
      </c>
      <c r="M248" s="104" t="s">
        <v>147</v>
      </c>
      <c r="N248" s="104" t="s">
        <v>211</v>
      </c>
      <c r="O248" s="110">
        <v>800</v>
      </c>
      <c r="P248" s="110">
        <v>920</v>
      </c>
      <c r="Q248" s="114" t="s">
        <v>458</v>
      </c>
    </row>
    <row r="249" spans="1:17" ht="15" customHeight="1">
      <c r="A249" s="97">
        <v>248</v>
      </c>
      <c r="B249" s="101" t="s">
        <v>212</v>
      </c>
      <c r="C249" s="101">
        <v>46148</v>
      </c>
      <c r="D249" s="101">
        <v>46178</v>
      </c>
      <c r="E249" s="113">
        <v>3703</v>
      </c>
      <c r="F249" s="98" t="s">
        <v>299</v>
      </c>
      <c r="G249" s="99" t="s">
        <v>144</v>
      </c>
      <c r="H249" s="100" t="s">
        <v>303</v>
      </c>
      <c r="I249" s="104" t="s">
        <v>339</v>
      </c>
      <c r="J249" s="102" t="s">
        <v>146</v>
      </c>
      <c r="K249" s="103">
        <v>14</v>
      </c>
      <c r="L249" s="104" t="s">
        <v>110</v>
      </c>
      <c r="M249" s="104" t="s">
        <v>147</v>
      </c>
      <c r="N249" s="104" t="s">
        <v>211</v>
      </c>
      <c r="O249" s="110">
        <v>800</v>
      </c>
      <c r="P249" s="110">
        <v>920</v>
      </c>
      <c r="Q249" s="114" t="s">
        <v>458</v>
      </c>
    </row>
    <row r="250" spans="1:17" ht="15" customHeight="1">
      <c r="A250" s="97">
        <v>249</v>
      </c>
      <c r="B250" s="101" t="s">
        <v>212</v>
      </c>
      <c r="C250" s="101">
        <v>46148</v>
      </c>
      <c r="D250" s="101">
        <v>46178</v>
      </c>
      <c r="E250" s="113">
        <v>3642</v>
      </c>
      <c r="F250" s="98" t="s">
        <v>332</v>
      </c>
      <c r="G250" s="99" t="s">
        <v>144</v>
      </c>
      <c r="H250" s="100" t="s">
        <v>336</v>
      </c>
      <c r="I250" s="104" t="s">
        <v>338</v>
      </c>
      <c r="J250" s="102" t="s">
        <v>146</v>
      </c>
      <c r="K250" s="103">
        <v>7</v>
      </c>
      <c r="L250" s="104" t="s">
        <v>110</v>
      </c>
      <c r="M250" s="104" t="s">
        <v>147</v>
      </c>
      <c r="N250" s="104" t="s">
        <v>211</v>
      </c>
      <c r="O250" s="110">
        <v>800</v>
      </c>
      <c r="P250" s="110">
        <v>920</v>
      </c>
      <c r="Q250" s="114" t="s">
        <v>458</v>
      </c>
    </row>
    <row r="251" spans="1:17" ht="15" customHeight="1">
      <c r="A251" s="97">
        <v>250</v>
      </c>
      <c r="B251" s="101" t="s">
        <v>212</v>
      </c>
      <c r="C251" s="101">
        <v>46148</v>
      </c>
      <c r="D251" s="101">
        <v>46178</v>
      </c>
      <c r="E251" s="113">
        <v>3646</v>
      </c>
      <c r="F251" s="98" t="s">
        <v>299</v>
      </c>
      <c r="G251" s="99" t="s">
        <v>144</v>
      </c>
      <c r="H251" s="100" t="s">
        <v>307</v>
      </c>
      <c r="I251" s="104" t="s">
        <v>327</v>
      </c>
      <c r="J251" s="102" t="s">
        <v>146</v>
      </c>
      <c r="K251" s="103">
        <v>14</v>
      </c>
      <c r="L251" s="104" t="s">
        <v>110</v>
      </c>
      <c r="M251" s="104" t="s">
        <v>147</v>
      </c>
      <c r="N251" s="104" t="s">
        <v>211</v>
      </c>
      <c r="O251" s="110">
        <v>800</v>
      </c>
      <c r="P251" s="110">
        <v>920</v>
      </c>
      <c r="Q251" s="114" t="s">
        <v>458</v>
      </c>
    </row>
    <row r="252" spans="1:17" ht="15" customHeight="1">
      <c r="A252" s="97">
        <v>251</v>
      </c>
      <c r="B252" s="101" t="s">
        <v>212</v>
      </c>
      <c r="C252" s="101">
        <v>46148</v>
      </c>
      <c r="D252" s="101">
        <v>46179</v>
      </c>
      <c r="E252" s="113">
        <v>3728</v>
      </c>
      <c r="F252" s="98" t="s">
        <v>223</v>
      </c>
      <c r="G252" s="99" t="s">
        <v>144</v>
      </c>
      <c r="H252" s="100" t="s">
        <v>197</v>
      </c>
      <c r="I252" s="104" t="s">
        <v>204</v>
      </c>
      <c r="J252" s="102" t="s">
        <v>146</v>
      </c>
      <c r="K252" s="103">
        <v>7</v>
      </c>
      <c r="L252" s="104" t="s">
        <v>110</v>
      </c>
      <c r="M252" s="104" t="s">
        <v>147</v>
      </c>
      <c r="N252" s="104" t="s">
        <v>211</v>
      </c>
      <c r="O252" s="110">
        <v>800</v>
      </c>
      <c r="P252" s="110">
        <v>920</v>
      </c>
      <c r="Q252" s="114" t="s">
        <v>458</v>
      </c>
    </row>
    <row r="253" spans="1:17" ht="15" customHeight="1">
      <c r="A253" s="97">
        <v>252</v>
      </c>
      <c r="B253" s="101" t="s">
        <v>212</v>
      </c>
      <c r="C253" s="101">
        <v>46148</v>
      </c>
      <c r="D253" s="101">
        <v>46179</v>
      </c>
      <c r="E253" s="113">
        <v>3726</v>
      </c>
      <c r="F253" s="98" t="s">
        <v>321</v>
      </c>
      <c r="G253" s="99" t="s">
        <v>144</v>
      </c>
      <c r="H253" s="100" t="s">
        <v>306</v>
      </c>
      <c r="I253" s="104" t="s">
        <v>325</v>
      </c>
      <c r="J253" s="102" t="s">
        <v>146</v>
      </c>
      <c r="K253" s="103">
        <v>14</v>
      </c>
      <c r="L253" s="104" t="s">
        <v>110</v>
      </c>
      <c r="M253" s="104" t="s">
        <v>147</v>
      </c>
      <c r="N253" s="104" t="s">
        <v>211</v>
      </c>
      <c r="O253" s="110">
        <v>800</v>
      </c>
      <c r="P253" s="110">
        <v>920</v>
      </c>
      <c r="Q253" s="114" t="s">
        <v>458</v>
      </c>
    </row>
    <row r="254" spans="1:17" ht="15" customHeight="1">
      <c r="A254" s="97">
        <v>253</v>
      </c>
      <c r="B254" s="101" t="s">
        <v>212</v>
      </c>
      <c r="C254" s="101">
        <v>46148</v>
      </c>
      <c r="D254" s="101">
        <v>46179</v>
      </c>
      <c r="E254" s="113">
        <v>3730</v>
      </c>
      <c r="F254" s="98" t="s">
        <v>298</v>
      </c>
      <c r="G254" s="99" t="s">
        <v>144</v>
      </c>
      <c r="H254" s="100" t="s">
        <v>340</v>
      </c>
      <c r="I254" s="104" t="s">
        <v>206</v>
      </c>
      <c r="J254" s="102" t="s">
        <v>146</v>
      </c>
      <c r="K254" s="103">
        <v>7</v>
      </c>
      <c r="L254" s="104" t="s">
        <v>110</v>
      </c>
      <c r="M254" s="104" t="s">
        <v>147</v>
      </c>
      <c r="N254" s="104" t="s">
        <v>211</v>
      </c>
      <c r="O254" s="110">
        <v>800</v>
      </c>
      <c r="P254" s="110">
        <v>920</v>
      </c>
      <c r="Q254" s="114" t="s">
        <v>458</v>
      </c>
    </row>
    <row r="255" spans="1:17" ht="15" customHeight="1">
      <c r="A255" s="97">
        <v>254</v>
      </c>
      <c r="B255" s="101" t="s">
        <v>212</v>
      </c>
      <c r="C255" s="101">
        <v>46148</v>
      </c>
      <c r="D255" s="101">
        <v>46179</v>
      </c>
      <c r="E255" s="113">
        <v>3722</v>
      </c>
      <c r="F255" s="98" t="s">
        <v>253</v>
      </c>
      <c r="G255" s="99" t="s">
        <v>144</v>
      </c>
      <c r="H255" s="100" t="s">
        <v>263</v>
      </c>
      <c r="I255" s="104" t="s">
        <v>270</v>
      </c>
      <c r="J255" s="102" t="s">
        <v>146</v>
      </c>
      <c r="K255" s="103">
        <v>14</v>
      </c>
      <c r="L255" s="104" t="s">
        <v>110</v>
      </c>
      <c r="M255" s="104" t="s">
        <v>147</v>
      </c>
      <c r="N255" s="104" t="s">
        <v>211</v>
      </c>
      <c r="O255" s="110">
        <v>800</v>
      </c>
      <c r="P255" s="110">
        <v>920</v>
      </c>
      <c r="Q255" s="114" t="s">
        <v>458</v>
      </c>
    </row>
    <row r="256" spans="1:17" ht="15" customHeight="1">
      <c r="A256" s="97">
        <v>255</v>
      </c>
      <c r="B256" s="101" t="s">
        <v>212</v>
      </c>
      <c r="C256" s="101">
        <v>46148</v>
      </c>
      <c r="D256" s="101">
        <v>46179</v>
      </c>
      <c r="E256" s="113">
        <v>3724</v>
      </c>
      <c r="F256" s="98" t="s">
        <v>226</v>
      </c>
      <c r="G256" s="99" t="s">
        <v>144</v>
      </c>
      <c r="H256" s="100" t="s">
        <v>200</v>
      </c>
      <c r="I256" s="104" t="s">
        <v>266</v>
      </c>
      <c r="J256" s="102" t="s">
        <v>146</v>
      </c>
      <c r="K256" s="103">
        <v>14</v>
      </c>
      <c r="L256" s="104" t="s">
        <v>110</v>
      </c>
      <c r="M256" s="104" t="s">
        <v>147</v>
      </c>
      <c r="N256" s="104" t="s">
        <v>211</v>
      </c>
      <c r="O256" s="110">
        <v>800</v>
      </c>
      <c r="P256" s="110">
        <v>920</v>
      </c>
      <c r="Q256" s="114" t="s">
        <v>458</v>
      </c>
    </row>
    <row r="257" spans="1:17" ht="15" customHeight="1">
      <c r="A257" s="97">
        <v>256</v>
      </c>
      <c r="B257" s="101" t="s">
        <v>212</v>
      </c>
      <c r="C257" s="101">
        <v>46148</v>
      </c>
      <c r="D257" s="101">
        <v>46179</v>
      </c>
      <c r="E257" s="113">
        <v>3719</v>
      </c>
      <c r="F257" s="98" t="s">
        <v>299</v>
      </c>
      <c r="G257" s="99" t="s">
        <v>144</v>
      </c>
      <c r="H257" s="100" t="s">
        <v>303</v>
      </c>
      <c r="I257" s="104" t="s">
        <v>339</v>
      </c>
      <c r="J257" s="102" t="s">
        <v>146</v>
      </c>
      <c r="K257" s="103">
        <v>14</v>
      </c>
      <c r="L257" s="104" t="s">
        <v>110</v>
      </c>
      <c r="M257" s="104" t="s">
        <v>147</v>
      </c>
      <c r="N257" s="104" t="s">
        <v>211</v>
      </c>
      <c r="O257" s="110">
        <v>800</v>
      </c>
      <c r="P257" s="110">
        <v>920</v>
      </c>
      <c r="Q257" s="114" t="s">
        <v>458</v>
      </c>
    </row>
    <row r="258" spans="1:17" ht="15" customHeight="1">
      <c r="A258" s="97">
        <v>257</v>
      </c>
      <c r="B258" s="101" t="s">
        <v>212</v>
      </c>
      <c r="C258" s="101">
        <v>46148</v>
      </c>
      <c r="D258" s="101">
        <v>46179</v>
      </c>
      <c r="E258" s="113">
        <v>3732</v>
      </c>
      <c r="F258" s="98" t="s">
        <v>257</v>
      </c>
      <c r="G258" s="99" t="s">
        <v>144</v>
      </c>
      <c r="H258" s="100" t="s">
        <v>262</v>
      </c>
      <c r="I258" s="104" t="s">
        <v>269</v>
      </c>
      <c r="J258" s="102" t="s">
        <v>146</v>
      </c>
      <c r="K258" s="103">
        <v>14</v>
      </c>
      <c r="L258" s="104" t="s">
        <v>110</v>
      </c>
      <c r="M258" s="104" t="s">
        <v>147</v>
      </c>
      <c r="N258" s="104" t="s">
        <v>211</v>
      </c>
      <c r="O258" s="110">
        <v>800</v>
      </c>
      <c r="P258" s="110">
        <v>920</v>
      </c>
      <c r="Q258" s="114" t="s">
        <v>458</v>
      </c>
    </row>
    <row r="259" spans="1:17" ht="15" customHeight="1">
      <c r="A259" s="97">
        <v>258</v>
      </c>
      <c r="B259" s="101" t="s">
        <v>212</v>
      </c>
      <c r="C259" s="101">
        <v>46148</v>
      </c>
      <c r="D259" s="101">
        <v>46179</v>
      </c>
      <c r="E259" s="113">
        <v>3727</v>
      </c>
      <c r="F259" s="98" t="s">
        <v>223</v>
      </c>
      <c r="G259" s="99" t="s">
        <v>144</v>
      </c>
      <c r="H259" s="100" t="s">
        <v>197</v>
      </c>
      <c r="I259" s="104" t="s">
        <v>204</v>
      </c>
      <c r="J259" s="102" t="s">
        <v>146</v>
      </c>
      <c r="K259" s="103">
        <v>7</v>
      </c>
      <c r="L259" s="104" t="s">
        <v>110</v>
      </c>
      <c r="M259" s="104" t="s">
        <v>147</v>
      </c>
      <c r="N259" s="104" t="s">
        <v>211</v>
      </c>
      <c r="O259" s="110">
        <v>800</v>
      </c>
      <c r="P259" s="110">
        <v>920</v>
      </c>
      <c r="Q259" s="114" t="s">
        <v>458</v>
      </c>
    </row>
    <row r="260" spans="1:17" ht="15" customHeight="1">
      <c r="A260" s="97">
        <v>259</v>
      </c>
      <c r="B260" s="101" t="s">
        <v>212</v>
      </c>
      <c r="C260" s="101">
        <v>46148</v>
      </c>
      <c r="D260" s="101">
        <v>46179</v>
      </c>
      <c r="E260" s="113">
        <v>3731</v>
      </c>
      <c r="F260" s="98" t="s">
        <v>225</v>
      </c>
      <c r="G260" s="99" t="s">
        <v>144</v>
      </c>
      <c r="H260" s="100" t="s">
        <v>201</v>
      </c>
      <c r="I260" s="104" t="s">
        <v>341</v>
      </c>
      <c r="J260" s="102" t="s">
        <v>146</v>
      </c>
      <c r="K260" s="103">
        <v>14</v>
      </c>
      <c r="L260" s="104" t="s">
        <v>110</v>
      </c>
      <c r="M260" s="104" t="s">
        <v>147</v>
      </c>
      <c r="N260" s="104" t="s">
        <v>211</v>
      </c>
      <c r="O260" s="110">
        <v>800</v>
      </c>
      <c r="P260" s="110">
        <v>920</v>
      </c>
      <c r="Q260" s="114" t="s">
        <v>458</v>
      </c>
    </row>
    <row r="261" spans="1:17" ht="15" customHeight="1">
      <c r="A261" s="97">
        <v>260</v>
      </c>
      <c r="B261" s="101" t="s">
        <v>212</v>
      </c>
      <c r="C261" s="101">
        <v>46148</v>
      </c>
      <c r="D261" s="101">
        <v>46179</v>
      </c>
      <c r="E261" s="113">
        <v>3729</v>
      </c>
      <c r="F261" s="98" t="s">
        <v>298</v>
      </c>
      <c r="G261" s="99" t="s">
        <v>144</v>
      </c>
      <c r="H261" s="100" t="s">
        <v>340</v>
      </c>
      <c r="I261" s="104" t="s">
        <v>206</v>
      </c>
      <c r="J261" s="102" t="s">
        <v>146</v>
      </c>
      <c r="K261" s="103">
        <v>7</v>
      </c>
      <c r="L261" s="104" t="s">
        <v>110</v>
      </c>
      <c r="M261" s="104" t="s">
        <v>147</v>
      </c>
      <c r="N261" s="104" t="s">
        <v>211</v>
      </c>
      <c r="O261" s="110">
        <v>800</v>
      </c>
      <c r="P261" s="110">
        <v>920</v>
      </c>
      <c r="Q261" s="114" t="s">
        <v>458</v>
      </c>
    </row>
    <row r="262" spans="1:17" ht="15" customHeight="1">
      <c r="A262" s="97">
        <v>261</v>
      </c>
      <c r="B262" s="101" t="s">
        <v>212</v>
      </c>
      <c r="C262" s="101">
        <v>46148</v>
      </c>
      <c r="D262" s="101">
        <v>46179</v>
      </c>
      <c r="E262" s="113">
        <v>3725</v>
      </c>
      <c r="F262" s="98" t="s">
        <v>321</v>
      </c>
      <c r="G262" s="99" t="s">
        <v>144</v>
      </c>
      <c r="H262" s="100" t="s">
        <v>306</v>
      </c>
      <c r="I262" s="104" t="s">
        <v>325</v>
      </c>
      <c r="J262" s="102" t="s">
        <v>146</v>
      </c>
      <c r="K262" s="103">
        <v>14</v>
      </c>
      <c r="L262" s="104" t="s">
        <v>110</v>
      </c>
      <c r="M262" s="104" t="s">
        <v>147</v>
      </c>
      <c r="N262" s="104" t="s">
        <v>211</v>
      </c>
      <c r="O262" s="110">
        <v>800</v>
      </c>
      <c r="P262" s="110">
        <v>920</v>
      </c>
      <c r="Q262" s="114" t="s">
        <v>458</v>
      </c>
    </row>
    <row r="263" spans="1:17" ht="15" customHeight="1">
      <c r="A263" s="97">
        <v>262</v>
      </c>
      <c r="B263" s="101" t="s">
        <v>212</v>
      </c>
      <c r="C263" s="101">
        <v>46148</v>
      </c>
      <c r="D263" s="101">
        <v>46179</v>
      </c>
      <c r="E263" s="113">
        <v>3721</v>
      </c>
      <c r="F263" s="98" t="s">
        <v>253</v>
      </c>
      <c r="G263" s="99" t="s">
        <v>144</v>
      </c>
      <c r="H263" s="100" t="s">
        <v>263</v>
      </c>
      <c r="I263" s="104" t="s">
        <v>270</v>
      </c>
      <c r="J263" s="102" t="s">
        <v>146</v>
      </c>
      <c r="K263" s="103">
        <v>14</v>
      </c>
      <c r="L263" s="104" t="s">
        <v>110</v>
      </c>
      <c r="M263" s="104" t="s">
        <v>147</v>
      </c>
      <c r="N263" s="104" t="s">
        <v>211</v>
      </c>
      <c r="O263" s="110">
        <v>800</v>
      </c>
      <c r="P263" s="110">
        <v>920</v>
      </c>
      <c r="Q263" s="114" t="s">
        <v>458</v>
      </c>
    </row>
    <row r="264" spans="1:17" ht="15" customHeight="1">
      <c r="A264" s="97">
        <v>263</v>
      </c>
      <c r="B264" s="101" t="s">
        <v>212</v>
      </c>
      <c r="C264" s="101">
        <v>46148</v>
      </c>
      <c r="D264" s="101">
        <v>46179</v>
      </c>
      <c r="E264" s="113">
        <v>3723</v>
      </c>
      <c r="F264" s="98" t="s">
        <v>226</v>
      </c>
      <c r="G264" s="99" t="s">
        <v>144</v>
      </c>
      <c r="H264" s="100" t="s">
        <v>200</v>
      </c>
      <c r="I264" s="104" t="s">
        <v>266</v>
      </c>
      <c r="J264" s="102" t="s">
        <v>146</v>
      </c>
      <c r="K264" s="103">
        <v>14</v>
      </c>
      <c r="L264" s="104" t="s">
        <v>110</v>
      </c>
      <c r="M264" s="104" t="s">
        <v>147</v>
      </c>
      <c r="N264" s="104" t="s">
        <v>211</v>
      </c>
      <c r="O264" s="110">
        <v>800</v>
      </c>
      <c r="P264" s="110">
        <v>920</v>
      </c>
      <c r="Q264" s="114" t="s">
        <v>458</v>
      </c>
    </row>
    <row r="265" spans="1:17" ht="15" customHeight="1">
      <c r="A265" s="97">
        <v>264</v>
      </c>
      <c r="B265" s="101" t="s">
        <v>212</v>
      </c>
      <c r="C265" s="101">
        <v>46148</v>
      </c>
      <c r="D265" s="101">
        <v>46179</v>
      </c>
      <c r="E265" s="113">
        <v>3720</v>
      </c>
      <c r="F265" s="98" t="s">
        <v>299</v>
      </c>
      <c r="G265" s="99" t="s">
        <v>144</v>
      </c>
      <c r="H265" s="100" t="s">
        <v>303</v>
      </c>
      <c r="I265" s="104" t="s">
        <v>342</v>
      </c>
      <c r="J265" s="102" t="s">
        <v>146</v>
      </c>
      <c r="K265" s="103">
        <v>14</v>
      </c>
      <c r="L265" s="104" t="s">
        <v>110</v>
      </c>
      <c r="M265" s="104" t="s">
        <v>147</v>
      </c>
      <c r="N265" s="104" t="s">
        <v>211</v>
      </c>
      <c r="O265" s="110">
        <v>800</v>
      </c>
      <c r="P265" s="110">
        <v>920</v>
      </c>
      <c r="Q265" s="114" t="s">
        <v>458</v>
      </c>
    </row>
    <row r="266" spans="1:17" ht="15" customHeight="1">
      <c r="A266" s="97">
        <v>265</v>
      </c>
      <c r="B266" s="101" t="s">
        <v>497</v>
      </c>
      <c r="C266" s="101">
        <v>46175</v>
      </c>
      <c r="D266" s="117">
        <v>46181</v>
      </c>
      <c r="E266" s="106">
        <v>8739</v>
      </c>
      <c r="F266" s="98" t="s">
        <v>165</v>
      </c>
      <c r="G266" s="99" t="s">
        <v>144</v>
      </c>
      <c r="H266" s="105">
        <v>1</v>
      </c>
      <c r="I266" s="107" t="s">
        <v>175</v>
      </c>
      <c r="J266" s="102" t="s">
        <v>180</v>
      </c>
      <c r="K266" s="103">
        <v>30</v>
      </c>
      <c r="L266" s="104" t="s">
        <v>100</v>
      </c>
      <c r="M266" s="104" t="s">
        <v>139</v>
      </c>
      <c r="N266" s="104"/>
      <c r="O266" s="109"/>
      <c r="P266" s="109"/>
      <c r="Q266" s="114" t="s">
        <v>496</v>
      </c>
    </row>
    <row r="267" spans="1:17" ht="15" customHeight="1">
      <c r="A267" s="97">
        <v>266</v>
      </c>
      <c r="B267" s="101" t="s">
        <v>498</v>
      </c>
      <c r="C267" s="101">
        <v>46189</v>
      </c>
      <c r="D267" s="117">
        <v>46181</v>
      </c>
      <c r="E267" s="106" t="s">
        <v>343</v>
      </c>
      <c r="F267" s="98" t="s">
        <v>130</v>
      </c>
      <c r="G267" s="99" t="s">
        <v>101</v>
      </c>
      <c r="H267" s="100" t="s">
        <v>131</v>
      </c>
      <c r="I267" s="104" t="s">
        <v>132</v>
      </c>
      <c r="J267" s="102" t="s">
        <v>127</v>
      </c>
      <c r="K267" s="103">
        <v>30</v>
      </c>
      <c r="L267" s="104" t="s">
        <v>100</v>
      </c>
      <c r="M267" s="104" t="s">
        <v>139</v>
      </c>
      <c r="N267" s="104"/>
      <c r="O267" s="109"/>
      <c r="P267" s="109"/>
      <c r="Q267" s="114" t="s">
        <v>458</v>
      </c>
    </row>
    <row r="268" spans="1:17" ht="15" customHeight="1">
      <c r="A268" s="97">
        <v>267</v>
      </c>
      <c r="B268" s="101" t="s">
        <v>498</v>
      </c>
      <c r="C268" s="101">
        <v>46189</v>
      </c>
      <c r="D268" s="117">
        <v>46181</v>
      </c>
      <c r="E268" s="106">
        <v>3736</v>
      </c>
      <c r="F268" s="98" t="s">
        <v>162</v>
      </c>
      <c r="G268" s="99" t="s">
        <v>144</v>
      </c>
      <c r="H268" s="105">
        <v>1</v>
      </c>
      <c r="I268" s="107" t="s">
        <v>344</v>
      </c>
      <c r="J268" s="102" t="s">
        <v>180</v>
      </c>
      <c r="K268" s="103">
        <v>30</v>
      </c>
      <c r="L268" s="104" t="s">
        <v>100</v>
      </c>
      <c r="M268" s="104" t="s">
        <v>139</v>
      </c>
      <c r="N268" s="104"/>
      <c r="O268" s="109"/>
      <c r="P268" s="109"/>
      <c r="Q268" s="114" t="s">
        <v>458</v>
      </c>
    </row>
    <row r="269" spans="1:17" ht="15" customHeight="1">
      <c r="A269" s="97">
        <v>268</v>
      </c>
      <c r="B269" s="101" t="s">
        <v>184</v>
      </c>
      <c r="C269" s="101">
        <v>46148</v>
      </c>
      <c r="D269" s="117">
        <v>46181</v>
      </c>
      <c r="E269" s="106">
        <v>79</v>
      </c>
      <c r="F269" s="98" t="s">
        <v>345</v>
      </c>
      <c r="G269" s="99" t="s">
        <v>144</v>
      </c>
      <c r="H269" s="100" t="s">
        <v>171</v>
      </c>
      <c r="I269" s="104" t="s">
        <v>188</v>
      </c>
      <c r="J269" s="102" t="s">
        <v>111</v>
      </c>
      <c r="K269" s="103">
        <v>30</v>
      </c>
      <c r="L269" s="104" t="s">
        <v>110</v>
      </c>
      <c r="M269" s="104" t="s">
        <v>139</v>
      </c>
      <c r="N269" s="104"/>
      <c r="O269" s="109"/>
      <c r="P269" s="109"/>
      <c r="Q269" s="105" t="s">
        <v>458</v>
      </c>
    </row>
    <row r="270" spans="1:17">
      <c r="A270" s="97">
        <v>269</v>
      </c>
      <c r="B270" s="101" t="s">
        <v>212</v>
      </c>
      <c r="C270" s="101">
        <v>46148</v>
      </c>
      <c r="D270" s="101">
        <v>46182</v>
      </c>
      <c r="E270" s="113">
        <v>3747</v>
      </c>
      <c r="F270" s="98" t="s">
        <v>362</v>
      </c>
      <c r="G270" s="99" t="s">
        <v>144</v>
      </c>
      <c r="H270" s="100" t="s">
        <v>363</v>
      </c>
      <c r="I270" s="104" t="s">
        <v>288</v>
      </c>
      <c r="J270" s="102" t="s">
        <v>146</v>
      </c>
      <c r="K270" s="103">
        <v>14</v>
      </c>
      <c r="L270" s="104" t="s">
        <v>110</v>
      </c>
      <c r="M270" s="104" t="s">
        <v>147</v>
      </c>
      <c r="N270" s="104" t="s">
        <v>211</v>
      </c>
      <c r="O270" s="110">
        <v>260</v>
      </c>
      <c r="P270" s="110">
        <v>310</v>
      </c>
      <c r="Q270" s="114" t="s">
        <v>458</v>
      </c>
    </row>
    <row r="271" spans="1:17">
      <c r="A271" s="97">
        <v>270</v>
      </c>
      <c r="B271" s="101" t="s">
        <v>212</v>
      </c>
      <c r="C271" s="101">
        <v>46148</v>
      </c>
      <c r="D271" s="101">
        <v>46182</v>
      </c>
      <c r="E271" s="113">
        <v>3744</v>
      </c>
      <c r="F271" s="98" t="s">
        <v>244</v>
      </c>
      <c r="G271" s="99" t="s">
        <v>144</v>
      </c>
      <c r="H271" s="100" t="s">
        <v>248</v>
      </c>
      <c r="I271" s="104" t="s">
        <v>267</v>
      </c>
      <c r="J271" s="102" t="s">
        <v>146</v>
      </c>
      <c r="K271" s="103">
        <v>14</v>
      </c>
      <c r="L271" s="104" t="s">
        <v>110</v>
      </c>
      <c r="M271" s="104" t="s">
        <v>147</v>
      </c>
      <c r="N271" s="104" t="s">
        <v>211</v>
      </c>
      <c r="O271" s="110">
        <v>260</v>
      </c>
      <c r="P271" s="110">
        <v>310</v>
      </c>
      <c r="Q271" s="114" t="s">
        <v>458</v>
      </c>
    </row>
    <row r="272" spans="1:17">
      <c r="A272" s="97">
        <v>271</v>
      </c>
      <c r="B272" s="101" t="s">
        <v>212</v>
      </c>
      <c r="C272" s="101">
        <v>46148</v>
      </c>
      <c r="D272" s="101">
        <v>46182</v>
      </c>
      <c r="E272" s="113">
        <v>3745</v>
      </c>
      <c r="F272" s="98" t="s">
        <v>298</v>
      </c>
      <c r="G272" s="99" t="s">
        <v>144</v>
      </c>
      <c r="H272" s="100" t="s">
        <v>199</v>
      </c>
      <c r="I272" s="104" t="s">
        <v>364</v>
      </c>
      <c r="J272" s="102" t="s">
        <v>146</v>
      </c>
      <c r="K272" s="103">
        <v>7</v>
      </c>
      <c r="L272" s="104" t="s">
        <v>110</v>
      </c>
      <c r="M272" s="104" t="s">
        <v>147</v>
      </c>
      <c r="N272" s="104" t="s">
        <v>211</v>
      </c>
      <c r="O272" s="110">
        <v>260</v>
      </c>
      <c r="P272" s="110">
        <v>310</v>
      </c>
      <c r="Q272" s="114" t="s">
        <v>458</v>
      </c>
    </row>
    <row r="273" spans="1:17">
      <c r="A273" s="97">
        <v>272</v>
      </c>
      <c r="B273" s="101" t="s">
        <v>212</v>
      </c>
      <c r="C273" s="101">
        <v>46148</v>
      </c>
      <c r="D273" s="101">
        <v>46182</v>
      </c>
      <c r="E273" s="113">
        <v>3743</v>
      </c>
      <c r="F273" s="98" t="s">
        <v>244</v>
      </c>
      <c r="G273" s="99" t="s">
        <v>144</v>
      </c>
      <c r="H273" s="100" t="s">
        <v>248</v>
      </c>
      <c r="I273" s="104" t="s">
        <v>267</v>
      </c>
      <c r="J273" s="102" t="s">
        <v>146</v>
      </c>
      <c r="K273" s="103">
        <v>14</v>
      </c>
      <c r="L273" s="104" t="s">
        <v>110</v>
      </c>
      <c r="M273" s="104" t="s">
        <v>147</v>
      </c>
      <c r="N273" s="104" t="s">
        <v>211</v>
      </c>
      <c r="O273" s="110">
        <v>260</v>
      </c>
      <c r="P273" s="110">
        <v>310</v>
      </c>
      <c r="Q273" s="114" t="s">
        <v>458</v>
      </c>
    </row>
    <row r="274" spans="1:17">
      <c r="A274" s="97">
        <v>273</v>
      </c>
      <c r="B274" s="101" t="s">
        <v>212</v>
      </c>
      <c r="C274" s="101">
        <v>46148</v>
      </c>
      <c r="D274" s="101">
        <v>46182</v>
      </c>
      <c r="E274" s="113">
        <v>3746</v>
      </c>
      <c r="F274" s="98" t="s">
        <v>298</v>
      </c>
      <c r="G274" s="99" t="s">
        <v>144</v>
      </c>
      <c r="H274" s="100" t="s">
        <v>199</v>
      </c>
      <c r="I274" s="104" t="s">
        <v>364</v>
      </c>
      <c r="J274" s="102" t="s">
        <v>146</v>
      </c>
      <c r="K274" s="103">
        <v>7</v>
      </c>
      <c r="L274" s="104" t="s">
        <v>110</v>
      </c>
      <c r="M274" s="104" t="s">
        <v>147</v>
      </c>
      <c r="N274" s="104" t="s">
        <v>211</v>
      </c>
      <c r="O274" s="110">
        <v>260</v>
      </c>
      <c r="P274" s="110">
        <v>310</v>
      </c>
      <c r="Q274" s="114" t="s">
        <v>458</v>
      </c>
    </row>
    <row r="275" spans="1:17">
      <c r="A275" s="97">
        <v>274</v>
      </c>
      <c r="B275" s="101" t="s">
        <v>212</v>
      </c>
      <c r="C275" s="101">
        <v>46148</v>
      </c>
      <c r="D275" s="101">
        <v>46182</v>
      </c>
      <c r="E275" s="112" t="s">
        <v>456</v>
      </c>
      <c r="F275" s="98" t="s">
        <v>362</v>
      </c>
      <c r="G275" s="99" t="s">
        <v>144</v>
      </c>
      <c r="H275" s="100" t="s">
        <v>363</v>
      </c>
      <c r="I275" s="104" t="s">
        <v>288</v>
      </c>
      <c r="J275" s="102" t="s">
        <v>146</v>
      </c>
      <c r="K275" s="103">
        <v>14</v>
      </c>
      <c r="L275" s="104" t="s">
        <v>110</v>
      </c>
      <c r="M275" s="104" t="s">
        <v>147</v>
      </c>
      <c r="N275" s="104" t="s">
        <v>211</v>
      </c>
      <c r="O275" s="110">
        <v>260</v>
      </c>
      <c r="P275" s="110">
        <v>310</v>
      </c>
      <c r="Q275" s="114" t="s">
        <v>458</v>
      </c>
    </row>
    <row r="276" spans="1:17">
      <c r="A276" s="97">
        <v>275</v>
      </c>
      <c r="B276" s="101" t="s">
        <v>212</v>
      </c>
      <c r="C276" s="101">
        <v>46148</v>
      </c>
      <c r="D276" s="101">
        <v>46182</v>
      </c>
      <c r="E276" s="113">
        <v>3742</v>
      </c>
      <c r="F276" s="98" t="s">
        <v>244</v>
      </c>
      <c r="G276" s="99" t="s">
        <v>144</v>
      </c>
      <c r="H276" s="100" t="s">
        <v>248</v>
      </c>
      <c r="I276" s="104" t="s">
        <v>267</v>
      </c>
      <c r="J276" s="102" t="s">
        <v>146</v>
      </c>
      <c r="K276" s="103">
        <v>14</v>
      </c>
      <c r="L276" s="104" t="s">
        <v>110</v>
      </c>
      <c r="M276" s="104" t="s">
        <v>147</v>
      </c>
      <c r="N276" s="104" t="s">
        <v>211</v>
      </c>
      <c r="O276" s="110">
        <v>260</v>
      </c>
      <c r="P276" s="110">
        <v>310</v>
      </c>
      <c r="Q276" s="114" t="s">
        <v>458</v>
      </c>
    </row>
    <row r="277" spans="1:17" s="126" customFormat="1" ht="15" customHeight="1">
      <c r="A277" s="97">
        <v>276</v>
      </c>
      <c r="B277" s="101" t="s">
        <v>498</v>
      </c>
      <c r="C277" s="101">
        <v>46189</v>
      </c>
      <c r="D277" s="117">
        <v>46182</v>
      </c>
      <c r="E277" s="106" t="s">
        <v>499</v>
      </c>
      <c r="F277" s="98" t="s">
        <v>502</v>
      </c>
      <c r="G277" s="99" t="s">
        <v>101</v>
      </c>
      <c r="H277" s="105" t="s">
        <v>504</v>
      </c>
      <c r="I277" s="107" t="s">
        <v>316</v>
      </c>
      <c r="J277" s="102" t="s">
        <v>127</v>
      </c>
      <c r="K277" s="103">
        <v>30</v>
      </c>
      <c r="L277" s="104" t="s">
        <v>100</v>
      </c>
      <c r="M277" s="104" t="s">
        <v>139</v>
      </c>
      <c r="N277" s="104"/>
      <c r="O277" s="109"/>
      <c r="P277" s="109"/>
      <c r="Q277" s="114" t="s">
        <v>458</v>
      </c>
    </row>
    <row r="278" spans="1:17" s="126" customFormat="1" ht="15" customHeight="1">
      <c r="A278" s="97">
        <v>277</v>
      </c>
      <c r="B278" s="101" t="s">
        <v>498</v>
      </c>
      <c r="C278" s="101">
        <v>46189</v>
      </c>
      <c r="D278" s="117">
        <v>46182</v>
      </c>
      <c r="E278" s="106" t="s">
        <v>500</v>
      </c>
      <c r="F278" s="98" t="s">
        <v>503</v>
      </c>
      <c r="G278" s="99" t="s">
        <v>101</v>
      </c>
      <c r="H278" s="105" t="s">
        <v>505</v>
      </c>
      <c r="I278" s="107" t="s">
        <v>317</v>
      </c>
      <c r="J278" s="102" t="s">
        <v>127</v>
      </c>
      <c r="K278" s="103">
        <v>30</v>
      </c>
      <c r="L278" s="104" t="s">
        <v>100</v>
      </c>
      <c r="M278" s="104" t="s">
        <v>139</v>
      </c>
      <c r="N278" s="104"/>
      <c r="O278" s="109"/>
      <c r="P278" s="109"/>
      <c r="Q278" s="114" t="s">
        <v>458</v>
      </c>
    </row>
    <row r="279" spans="1:17" s="126" customFormat="1" ht="15" customHeight="1">
      <c r="A279" s="97">
        <v>278</v>
      </c>
      <c r="B279" s="101" t="s">
        <v>498</v>
      </c>
      <c r="C279" s="101">
        <v>46189</v>
      </c>
      <c r="D279" s="117">
        <v>46182</v>
      </c>
      <c r="E279" s="106" t="s">
        <v>501</v>
      </c>
      <c r="F279" s="98" t="s">
        <v>502</v>
      </c>
      <c r="G279" s="99" t="s">
        <v>101</v>
      </c>
      <c r="H279" s="105" t="s">
        <v>504</v>
      </c>
      <c r="I279" s="107" t="s">
        <v>316</v>
      </c>
      <c r="J279" s="102" t="s">
        <v>127</v>
      </c>
      <c r="K279" s="103">
        <v>30</v>
      </c>
      <c r="L279" s="104" t="s">
        <v>100</v>
      </c>
      <c r="M279" s="104" t="s">
        <v>139</v>
      </c>
      <c r="N279" s="104"/>
      <c r="O279" s="109"/>
      <c r="P279" s="109"/>
      <c r="Q279" s="114" t="s">
        <v>458</v>
      </c>
    </row>
    <row r="280" spans="1:17" ht="15" customHeight="1">
      <c r="A280" s="97">
        <v>279</v>
      </c>
      <c r="B280" s="101" t="s">
        <v>184</v>
      </c>
      <c r="C280" s="101">
        <v>46148</v>
      </c>
      <c r="D280" s="117">
        <v>46183</v>
      </c>
      <c r="E280" s="106">
        <v>64453</v>
      </c>
      <c r="F280" s="98" t="s">
        <v>514</v>
      </c>
      <c r="G280" s="99" t="s">
        <v>101</v>
      </c>
      <c r="H280" s="100" t="s">
        <v>505</v>
      </c>
      <c r="I280" s="104" t="s">
        <v>317</v>
      </c>
      <c r="J280" s="102" t="s">
        <v>250</v>
      </c>
      <c r="K280" s="103">
        <v>30</v>
      </c>
      <c r="L280" s="104" t="s">
        <v>110</v>
      </c>
      <c r="M280" s="104" t="s">
        <v>139</v>
      </c>
      <c r="N280" s="104"/>
      <c r="O280" s="109"/>
      <c r="P280" s="109"/>
      <c r="Q280" s="105" t="s">
        <v>458</v>
      </c>
    </row>
    <row r="281" spans="1:17">
      <c r="A281" s="97">
        <v>280</v>
      </c>
      <c r="B281" s="101" t="s">
        <v>212</v>
      </c>
      <c r="C281" s="101">
        <v>46148</v>
      </c>
      <c r="D281" s="101">
        <v>46183</v>
      </c>
      <c r="E281" s="113">
        <v>3760</v>
      </c>
      <c r="F281" s="98" t="s">
        <v>365</v>
      </c>
      <c r="G281" s="99" t="s">
        <v>144</v>
      </c>
      <c r="H281" s="100" t="s">
        <v>249</v>
      </c>
      <c r="I281" s="104" t="s">
        <v>274</v>
      </c>
      <c r="J281" s="102" t="s">
        <v>146</v>
      </c>
      <c r="K281" s="103">
        <v>7</v>
      </c>
      <c r="L281" s="104" t="s">
        <v>110</v>
      </c>
      <c r="M281" s="104" t="s">
        <v>147</v>
      </c>
      <c r="N281" s="104" t="s">
        <v>211</v>
      </c>
      <c r="O281" s="110">
        <v>370</v>
      </c>
      <c r="P281" s="110">
        <v>440</v>
      </c>
      <c r="Q281" s="114" t="s">
        <v>458</v>
      </c>
    </row>
    <row r="282" spans="1:17">
      <c r="A282" s="97">
        <v>281</v>
      </c>
      <c r="B282" s="101" t="s">
        <v>212</v>
      </c>
      <c r="C282" s="101">
        <v>46148</v>
      </c>
      <c r="D282" s="101">
        <v>46183</v>
      </c>
      <c r="E282" s="113">
        <v>3756</v>
      </c>
      <c r="F282" s="98" t="s">
        <v>222</v>
      </c>
      <c r="G282" s="99" t="s">
        <v>144</v>
      </c>
      <c r="H282" s="100" t="s">
        <v>142</v>
      </c>
      <c r="I282" s="104" t="s">
        <v>215</v>
      </c>
      <c r="J282" s="102" t="s">
        <v>146</v>
      </c>
      <c r="K282" s="103">
        <v>7</v>
      </c>
      <c r="L282" s="104" t="s">
        <v>110</v>
      </c>
      <c r="M282" s="104" t="s">
        <v>147</v>
      </c>
      <c r="N282" s="104" t="s">
        <v>211</v>
      </c>
      <c r="O282" s="110">
        <v>370</v>
      </c>
      <c r="P282" s="110">
        <v>440</v>
      </c>
      <c r="Q282" s="114" t="s">
        <v>458</v>
      </c>
    </row>
    <row r="283" spans="1:17">
      <c r="A283" s="97">
        <v>282</v>
      </c>
      <c r="B283" s="101" t="s">
        <v>212</v>
      </c>
      <c r="C283" s="101">
        <v>46148</v>
      </c>
      <c r="D283" s="101">
        <v>46183</v>
      </c>
      <c r="E283" s="113">
        <v>3766</v>
      </c>
      <c r="F283" s="98" t="s">
        <v>228</v>
      </c>
      <c r="G283" s="99" t="s">
        <v>144</v>
      </c>
      <c r="H283" s="100" t="s">
        <v>202</v>
      </c>
      <c r="I283" s="104" t="s">
        <v>369</v>
      </c>
      <c r="J283" s="102" t="s">
        <v>146</v>
      </c>
      <c r="K283" s="103">
        <v>14</v>
      </c>
      <c r="L283" s="104" t="s">
        <v>110</v>
      </c>
      <c r="M283" s="104" t="s">
        <v>147</v>
      </c>
      <c r="N283" s="104" t="s">
        <v>211</v>
      </c>
      <c r="O283" s="110">
        <v>370</v>
      </c>
      <c r="P283" s="110">
        <v>440</v>
      </c>
      <c r="Q283" s="114" t="s">
        <v>458</v>
      </c>
    </row>
    <row r="284" spans="1:17">
      <c r="A284" s="97">
        <v>283</v>
      </c>
      <c r="B284" s="101" t="s">
        <v>212</v>
      </c>
      <c r="C284" s="101">
        <v>46148</v>
      </c>
      <c r="D284" s="101">
        <v>46183</v>
      </c>
      <c r="E284" s="113">
        <v>3763</v>
      </c>
      <c r="F284" s="98" t="s">
        <v>362</v>
      </c>
      <c r="G284" s="99" t="s">
        <v>144</v>
      </c>
      <c r="H284" s="100" t="s">
        <v>260</v>
      </c>
      <c r="I284" s="104" t="s">
        <v>288</v>
      </c>
      <c r="J284" s="102" t="s">
        <v>146</v>
      </c>
      <c r="K284" s="103">
        <v>14</v>
      </c>
      <c r="L284" s="104" t="s">
        <v>110</v>
      </c>
      <c r="M284" s="104" t="s">
        <v>147</v>
      </c>
      <c r="N284" s="104" t="s">
        <v>211</v>
      </c>
      <c r="O284" s="110">
        <v>370</v>
      </c>
      <c r="P284" s="110">
        <v>440</v>
      </c>
      <c r="Q284" s="114" t="s">
        <v>458</v>
      </c>
    </row>
    <row r="285" spans="1:17">
      <c r="A285" s="97">
        <v>284</v>
      </c>
      <c r="B285" s="101" t="s">
        <v>212</v>
      </c>
      <c r="C285" s="101">
        <v>46148</v>
      </c>
      <c r="D285" s="101">
        <v>46183</v>
      </c>
      <c r="E285" s="113">
        <v>3755</v>
      </c>
      <c r="F285" s="98" t="s">
        <v>222</v>
      </c>
      <c r="G285" s="99" t="s">
        <v>144</v>
      </c>
      <c r="H285" s="100" t="s">
        <v>142</v>
      </c>
      <c r="I285" s="104" t="s">
        <v>215</v>
      </c>
      <c r="J285" s="102" t="s">
        <v>146</v>
      </c>
      <c r="K285" s="103">
        <v>7</v>
      </c>
      <c r="L285" s="104" t="s">
        <v>110</v>
      </c>
      <c r="M285" s="104" t="s">
        <v>147</v>
      </c>
      <c r="N285" s="104" t="s">
        <v>211</v>
      </c>
      <c r="O285" s="110">
        <v>370</v>
      </c>
      <c r="P285" s="110">
        <v>440</v>
      </c>
      <c r="Q285" s="114" t="s">
        <v>458</v>
      </c>
    </row>
    <row r="286" spans="1:17">
      <c r="A286" s="97">
        <v>285</v>
      </c>
      <c r="B286" s="101" t="s">
        <v>212</v>
      </c>
      <c r="C286" s="101">
        <v>46148</v>
      </c>
      <c r="D286" s="101">
        <v>46183</v>
      </c>
      <c r="E286" s="113">
        <v>3752</v>
      </c>
      <c r="F286" s="98" t="s">
        <v>244</v>
      </c>
      <c r="G286" s="99" t="s">
        <v>144</v>
      </c>
      <c r="H286" s="100" t="s">
        <v>248</v>
      </c>
      <c r="I286" s="104" t="s">
        <v>267</v>
      </c>
      <c r="J286" s="102" t="s">
        <v>146</v>
      </c>
      <c r="K286" s="103">
        <v>14</v>
      </c>
      <c r="L286" s="104" t="s">
        <v>110</v>
      </c>
      <c r="M286" s="104" t="s">
        <v>147</v>
      </c>
      <c r="N286" s="104" t="s">
        <v>211</v>
      </c>
      <c r="O286" s="110">
        <v>370</v>
      </c>
      <c r="P286" s="110">
        <v>440</v>
      </c>
      <c r="Q286" s="114" t="s">
        <v>458</v>
      </c>
    </row>
    <row r="287" spans="1:17">
      <c r="A287" s="97">
        <v>286</v>
      </c>
      <c r="B287" s="101" t="s">
        <v>212</v>
      </c>
      <c r="C287" s="101">
        <v>46148</v>
      </c>
      <c r="D287" s="101">
        <v>46183</v>
      </c>
      <c r="E287" s="113">
        <v>3759</v>
      </c>
      <c r="F287" s="98" t="s">
        <v>365</v>
      </c>
      <c r="G287" s="99" t="s">
        <v>144</v>
      </c>
      <c r="H287" s="100" t="s">
        <v>249</v>
      </c>
      <c r="I287" s="104" t="s">
        <v>274</v>
      </c>
      <c r="J287" s="102" t="s">
        <v>146</v>
      </c>
      <c r="K287" s="103">
        <v>7</v>
      </c>
      <c r="L287" s="104" t="s">
        <v>110</v>
      </c>
      <c r="M287" s="104" t="s">
        <v>147</v>
      </c>
      <c r="N287" s="104" t="s">
        <v>211</v>
      </c>
      <c r="O287" s="110">
        <v>370</v>
      </c>
      <c r="P287" s="110">
        <v>440</v>
      </c>
      <c r="Q287" s="114" t="s">
        <v>458</v>
      </c>
    </row>
    <row r="288" spans="1:17">
      <c r="A288" s="97">
        <v>287</v>
      </c>
      <c r="B288" s="101" t="s">
        <v>212</v>
      </c>
      <c r="C288" s="101">
        <v>46148</v>
      </c>
      <c r="D288" s="101">
        <v>46183</v>
      </c>
      <c r="E288" s="113">
        <v>3765</v>
      </c>
      <c r="F288" s="98" t="s">
        <v>228</v>
      </c>
      <c r="G288" s="99" t="s">
        <v>144</v>
      </c>
      <c r="H288" s="100" t="s">
        <v>202</v>
      </c>
      <c r="I288" s="104" t="s">
        <v>369</v>
      </c>
      <c r="J288" s="102" t="s">
        <v>146</v>
      </c>
      <c r="K288" s="103">
        <v>14</v>
      </c>
      <c r="L288" s="104" t="s">
        <v>110</v>
      </c>
      <c r="M288" s="104" t="s">
        <v>147</v>
      </c>
      <c r="N288" s="104" t="s">
        <v>211</v>
      </c>
      <c r="O288" s="110">
        <v>370</v>
      </c>
      <c r="P288" s="110">
        <v>440</v>
      </c>
      <c r="Q288" s="114" t="s">
        <v>458</v>
      </c>
    </row>
    <row r="289" spans="1:17">
      <c r="A289" s="97">
        <v>288</v>
      </c>
      <c r="B289" s="101" t="s">
        <v>212</v>
      </c>
      <c r="C289" s="101">
        <v>46148</v>
      </c>
      <c r="D289" s="101">
        <v>46183</v>
      </c>
      <c r="E289" s="113">
        <v>3762</v>
      </c>
      <c r="F289" s="98" t="s">
        <v>362</v>
      </c>
      <c r="G289" s="99" t="s">
        <v>144</v>
      </c>
      <c r="H289" s="100" t="s">
        <v>260</v>
      </c>
      <c r="I289" s="104" t="s">
        <v>288</v>
      </c>
      <c r="J289" s="102" t="s">
        <v>146</v>
      </c>
      <c r="K289" s="103">
        <v>14</v>
      </c>
      <c r="L289" s="104" t="s">
        <v>110</v>
      </c>
      <c r="M289" s="104" t="s">
        <v>147</v>
      </c>
      <c r="N289" s="104" t="s">
        <v>211</v>
      </c>
      <c r="O289" s="110">
        <v>370</v>
      </c>
      <c r="P289" s="110">
        <v>440</v>
      </c>
      <c r="Q289" s="114" t="s">
        <v>458</v>
      </c>
    </row>
    <row r="290" spans="1:17">
      <c r="A290" s="97">
        <v>289</v>
      </c>
      <c r="B290" s="101" t="s">
        <v>212</v>
      </c>
      <c r="C290" s="101">
        <v>46148</v>
      </c>
      <c r="D290" s="101">
        <v>46183</v>
      </c>
      <c r="E290" s="113">
        <v>3754</v>
      </c>
      <c r="F290" s="98" t="s">
        <v>222</v>
      </c>
      <c r="G290" s="99" t="s">
        <v>144</v>
      </c>
      <c r="H290" s="100" t="s">
        <v>142</v>
      </c>
      <c r="I290" s="104" t="s">
        <v>215</v>
      </c>
      <c r="J290" s="102" t="s">
        <v>146</v>
      </c>
      <c r="K290" s="103">
        <v>7</v>
      </c>
      <c r="L290" s="104" t="s">
        <v>110</v>
      </c>
      <c r="M290" s="104" t="s">
        <v>147</v>
      </c>
      <c r="N290" s="104" t="s">
        <v>211</v>
      </c>
      <c r="O290" s="110">
        <v>370</v>
      </c>
      <c r="P290" s="110">
        <v>440</v>
      </c>
      <c r="Q290" s="114" t="s">
        <v>458</v>
      </c>
    </row>
    <row r="291" spans="1:17">
      <c r="A291" s="97">
        <v>290</v>
      </c>
      <c r="B291" s="101" t="s">
        <v>212</v>
      </c>
      <c r="C291" s="101">
        <v>46148</v>
      </c>
      <c r="D291" s="101">
        <v>46183</v>
      </c>
      <c r="E291" s="113">
        <v>3751</v>
      </c>
      <c r="F291" s="98" t="s">
        <v>244</v>
      </c>
      <c r="G291" s="99" t="s">
        <v>144</v>
      </c>
      <c r="H291" s="100" t="s">
        <v>248</v>
      </c>
      <c r="I291" s="104" t="s">
        <v>267</v>
      </c>
      <c r="J291" s="102" t="s">
        <v>146</v>
      </c>
      <c r="K291" s="103">
        <v>14</v>
      </c>
      <c r="L291" s="104" t="s">
        <v>110</v>
      </c>
      <c r="M291" s="104" t="s">
        <v>147</v>
      </c>
      <c r="N291" s="104" t="s">
        <v>211</v>
      </c>
      <c r="O291" s="110">
        <v>370</v>
      </c>
      <c r="P291" s="110">
        <v>440</v>
      </c>
      <c r="Q291" s="114" t="s">
        <v>458</v>
      </c>
    </row>
    <row r="292" spans="1:17">
      <c r="A292" s="97">
        <v>291</v>
      </c>
      <c r="B292" s="101" t="s">
        <v>212</v>
      </c>
      <c r="C292" s="101">
        <v>46148</v>
      </c>
      <c r="D292" s="101">
        <v>46183</v>
      </c>
      <c r="E292" s="113">
        <v>3769</v>
      </c>
      <c r="F292" s="98" t="s">
        <v>366</v>
      </c>
      <c r="G292" s="99" t="s">
        <v>144</v>
      </c>
      <c r="H292" s="100" t="s">
        <v>218</v>
      </c>
      <c r="I292" s="104" t="s">
        <v>370</v>
      </c>
      <c r="J292" s="102" t="s">
        <v>146</v>
      </c>
      <c r="K292" s="103">
        <v>7</v>
      </c>
      <c r="L292" s="104" t="s">
        <v>110</v>
      </c>
      <c r="M292" s="104" t="s">
        <v>147</v>
      </c>
      <c r="N292" s="104" t="s">
        <v>211</v>
      </c>
      <c r="O292" s="110">
        <v>370</v>
      </c>
      <c r="P292" s="110">
        <v>440</v>
      </c>
      <c r="Q292" s="114" t="s">
        <v>458</v>
      </c>
    </row>
    <row r="293" spans="1:17">
      <c r="A293" s="97">
        <v>292</v>
      </c>
      <c r="B293" s="101" t="s">
        <v>212</v>
      </c>
      <c r="C293" s="101">
        <v>46148</v>
      </c>
      <c r="D293" s="101">
        <v>46183</v>
      </c>
      <c r="E293" s="113">
        <v>3758</v>
      </c>
      <c r="F293" s="98" t="s">
        <v>365</v>
      </c>
      <c r="G293" s="99" t="s">
        <v>144</v>
      </c>
      <c r="H293" s="100" t="s">
        <v>249</v>
      </c>
      <c r="I293" s="104" t="s">
        <v>274</v>
      </c>
      <c r="J293" s="102" t="s">
        <v>146</v>
      </c>
      <c r="K293" s="103">
        <v>7</v>
      </c>
      <c r="L293" s="104" t="s">
        <v>110</v>
      </c>
      <c r="M293" s="104" t="s">
        <v>147</v>
      </c>
      <c r="N293" s="104" t="s">
        <v>211</v>
      </c>
      <c r="O293" s="110">
        <v>370</v>
      </c>
      <c r="P293" s="110">
        <v>440</v>
      </c>
      <c r="Q293" s="114" t="s">
        <v>458</v>
      </c>
    </row>
    <row r="294" spans="1:17">
      <c r="A294" s="97">
        <v>293</v>
      </c>
      <c r="B294" s="101" t="s">
        <v>212</v>
      </c>
      <c r="C294" s="101">
        <v>46148</v>
      </c>
      <c r="D294" s="101">
        <v>46183</v>
      </c>
      <c r="E294" s="113">
        <v>3767</v>
      </c>
      <c r="F294" s="98" t="s">
        <v>367</v>
      </c>
      <c r="G294" s="99" t="s">
        <v>144</v>
      </c>
      <c r="H294" s="100" t="s">
        <v>217</v>
      </c>
      <c r="I294" s="104" t="s">
        <v>214</v>
      </c>
      <c r="J294" s="102" t="s">
        <v>146</v>
      </c>
      <c r="K294" s="103">
        <v>14</v>
      </c>
      <c r="L294" s="104" t="s">
        <v>110</v>
      </c>
      <c r="M294" s="104" t="s">
        <v>147</v>
      </c>
      <c r="N294" s="104" t="s">
        <v>211</v>
      </c>
      <c r="O294" s="110">
        <v>370</v>
      </c>
      <c r="P294" s="110">
        <v>440</v>
      </c>
      <c r="Q294" s="114" t="s">
        <v>458</v>
      </c>
    </row>
    <row r="295" spans="1:17">
      <c r="A295" s="97">
        <v>294</v>
      </c>
      <c r="B295" s="101" t="s">
        <v>212</v>
      </c>
      <c r="C295" s="101">
        <v>46148</v>
      </c>
      <c r="D295" s="101">
        <v>46183</v>
      </c>
      <c r="E295" s="113">
        <v>3764</v>
      </c>
      <c r="F295" s="98" t="s">
        <v>228</v>
      </c>
      <c r="G295" s="99" t="s">
        <v>144</v>
      </c>
      <c r="H295" s="100" t="s">
        <v>202</v>
      </c>
      <c r="I295" s="104" t="s">
        <v>369</v>
      </c>
      <c r="J295" s="102" t="s">
        <v>146</v>
      </c>
      <c r="K295" s="103">
        <v>14</v>
      </c>
      <c r="L295" s="104" t="s">
        <v>110</v>
      </c>
      <c r="M295" s="104" t="s">
        <v>147</v>
      </c>
      <c r="N295" s="104" t="s">
        <v>211</v>
      </c>
      <c r="O295" s="110">
        <v>370</v>
      </c>
      <c r="P295" s="110">
        <v>440</v>
      </c>
      <c r="Q295" s="114" t="s">
        <v>458</v>
      </c>
    </row>
    <row r="296" spans="1:17">
      <c r="A296" s="97">
        <v>295</v>
      </c>
      <c r="B296" s="101" t="s">
        <v>212</v>
      </c>
      <c r="C296" s="101">
        <v>46148</v>
      </c>
      <c r="D296" s="101">
        <v>46183</v>
      </c>
      <c r="E296" s="113">
        <v>3761</v>
      </c>
      <c r="F296" s="98" t="s">
        <v>362</v>
      </c>
      <c r="G296" s="99" t="s">
        <v>144</v>
      </c>
      <c r="H296" s="100" t="s">
        <v>260</v>
      </c>
      <c r="I296" s="104" t="s">
        <v>288</v>
      </c>
      <c r="J296" s="102" t="s">
        <v>146</v>
      </c>
      <c r="K296" s="103">
        <v>14</v>
      </c>
      <c r="L296" s="104" t="s">
        <v>110</v>
      </c>
      <c r="M296" s="104" t="s">
        <v>147</v>
      </c>
      <c r="N296" s="104" t="s">
        <v>211</v>
      </c>
      <c r="O296" s="110">
        <v>1230</v>
      </c>
      <c r="P296" s="110">
        <v>1290</v>
      </c>
      <c r="Q296" s="114" t="s">
        <v>458</v>
      </c>
    </row>
    <row r="297" spans="1:17">
      <c r="A297" s="97">
        <v>296</v>
      </c>
      <c r="B297" s="101" t="s">
        <v>212</v>
      </c>
      <c r="C297" s="101">
        <v>46148</v>
      </c>
      <c r="D297" s="101">
        <v>46183</v>
      </c>
      <c r="E297" s="113">
        <v>3753</v>
      </c>
      <c r="F297" s="98" t="s">
        <v>222</v>
      </c>
      <c r="G297" s="99" t="s">
        <v>144</v>
      </c>
      <c r="H297" s="100" t="s">
        <v>142</v>
      </c>
      <c r="I297" s="104" t="s">
        <v>215</v>
      </c>
      <c r="J297" s="102" t="s">
        <v>146</v>
      </c>
      <c r="K297" s="103">
        <v>7</v>
      </c>
      <c r="L297" s="104" t="s">
        <v>110</v>
      </c>
      <c r="M297" s="104" t="s">
        <v>147</v>
      </c>
      <c r="N297" s="104" t="s">
        <v>211</v>
      </c>
      <c r="O297" s="110">
        <v>370</v>
      </c>
      <c r="P297" s="110">
        <v>440</v>
      </c>
      <c r="Q297" s="114" t="s">
        <v>458</v>
      </c>
    </row>
    <row r="298" spans="1:17">
      <c r="A298" s="97">
        <v>297</v>
      </c>
      <c r="B298" s="101" t="s">
        <v>212</v>
      </c>
      <c r="C298" s="101">
        <v>46148</v>
      </c>
      <c r="D298" s="101">
        <v>46183</v>
      </c>
      <c r="E298" s="113">
        <v>3750</v>
      </c>
      <c r="F298" s="98" t="s">
        <v>244</v>
      </c>
      <c r="G298" s="99" t="s">
        <v>144</v>
      </c>
      <c r="H298" s="100" t="s">
        <v>248</v>
      </c>
      <c r="I298" s="104" t="s">
        <v>267</v>
      </c>
      <c r="J298" s="102" t="s">
        <v>146</v>
      </c>
      <c r="K298" s="103">
        <v>14</v>
      </c>
      <c r="L298" s="104" t="s">
        <v>110</v>
      </c>
      <c r="M298" s="104" t="s">
        <v>147</v>
      </c>
      <c r="N298" s="104" t="s">
        <v>211</v>
      </c>
      <c r="O298" s="110">
        <v>1230</v>
      </c>
      <c r="P298" s="110">
        <v>1290</v>
      </c>
      <c r="Q298" s="114" t="s">
        <v>458</v>
      </c>
    </row>
    <row r="299" spans="1:17">
      <c r="A299" s="97">
        <v>298</v>
      </c>
      <c r="B299" s="101" t="s">
        <v>212</v>
      </c>
      <c r="C299" s="101">
        <v>46148</v>
      </c>
      <c r="D299" s="101">
        <v>46183</v>
      </c>
      <c r="E299" s="113">
        <v>3768</v>
      </c>
      <c r="F299" s="98" t="s">
        <v>366</v>
      </c>
      <c r="G299" s="99" t="s">
        <v>144</v>
      </c>
      <c r="H299" s="100" t="s">
        <v>218</v>
      </c>
      <c r="I299" s="104" t="s">
        <v>370</v>
      </c>
      <c r="J299" s="102" t="s">
        <v>146</v>
      </c>
      <c r="K299" s="103">
        <v>7</v>
      </c>
      <c r="L299" s="104" t="s">
        <v>110</v>
      </c>
      <c r="M299" s="104" t="s">
        <v>147</v>
      </c>
      <c r="N299" s="104" t="s">
        <v>211</v>
      </c>
      <c r="O299" s="110">
        <v>370</v>
      </c>
      <c r="P299" s="110">
        <v>440</v>
      </c>
      <c r="Q299" s="114" t="s">
        <v>458</v>
      </c>
    </row>
    <row r="300" spans="1:17">
      <c r="A300" s="97">
        <v>299</v>
      </c>
      <c r="B300" s="101" t="s">
        <v>212</v>
      </c>
      <c r="C300" s="101">
        <v>46148</v>
      </c>
      <c r="D300" s="101">
        <v>46183</v>
      </c>
      <c r="E300" s="113">
        <v>3757</v>
      </c>
      <c r="F300" s="98" t="s">
        <v>365</v>
      </c>
      <c r="G300" s="99" t="s">
        <v>144</v>
      </c>
      <c r="H300" s="100" t="s">
        <v>249</v>
      </c>
      <c r="I300" s="104" t="s">
        <v>274</v>
      </c>
      <c r="J300" s="102" t="s">
        <v>146</v>
      </c>
      <c r="K300" s="103">
        <v>7</v>
      </c>
      <c r="L300" s="104" t="s">
        <v>110</v>
      </c>
      <c r="M300" s="104" t="s">
        <v>147</v>
      </c>
      <c r="N300" s="104" t="s">
        <v>211</v>
      </c>
      <c r="O300" s="110">
        <v>370</v>
      </c>
      <c r="P300" s="110">
        <v>440</v>
      </c>
      <c r="Q300" s="114" t="s">
        <v>458</v>
      </c>
    </row>
    <row r="301" spans="1:17">
      <c r="A301" s="97">
        <v>300</v>
      </c>
      <c r="B301" s="101" t="s">
        <v>212</v>
      </c>
      <c r="C301" s="101">
        <v>46148</v>
      </c>
      <c r="D301" s="101">
        <v>46183</v>
      </c>
      <c r="E301" s="113">
        <v>3786</v>
      </c>
      <c r="F301" s="98" t="s">
        <v>223</v>
      </c>
      <c r="G301" s="99" t="s">
        <v>144</v>
      </c>
      <c r="H301" s="100" t="s">
        <v>197</v>
      </c>
      <c r="I301" s="104" t="s">
        <v>204</v>
      </c>
      <c r="J301" s="102" t="s">
        <v>146</v>
      </c>
      <c r="K301" s="103">
        <v>7</v>
      </c>
      <c r="L301" s="104" t="s">
        <v>110</v>
      </c>
      <c r="M301" s="104" t="s">
        <v>147</v>
      </c>
      <c r="N301" s="104" t="s">
        <v>211</v>
      </c>
      <c r="O301" s="110">
        <v>1230</v>
      </c>
      <c r="P301" s="110">
        <v>1290</v>
      </c>
      <c r="Q301" s="114" t="s">
        <v>458</v>
      </c>
    </row>
    <row r="302" spans="1:17">
      <c r="A302" s="97">
        <v>301</v>
      </c>
      <c r="B302" s="101" t="s">
        <v>212</v>
      </c>
      <c r="C302" s="101">
        <v>46148</v>
      </c>
      <c r="D302" s="101">
        <v>46183</v>
      </c>
      <c r="E302" s="113">
        <v>3781</v>
      </c>
      <c r="F302" s="98" t="s">
        <v>254</v>
      </c>
      <c r="G302" s="99" t="s">
        <v>144</v>
      </c>
      <c r="H302" s="100" t="s">
        <v>259</v>
      </c>
      <c r="I302" s="104" t="s">
        <v>264</v>
      </c>
      <c r="J302" s="102" t="s">
        <v>146</v>
      </c>
      <c r="K302" s="103">
        <v>7</v>
      </c>
      <c r="L302" s="104" t="s">
        <v>110</v>
      </c>
      <c r="M302" s="104" t="s">
        <v>147</v>
      </c>
      <c r="N302" s="104" t="s">
        <v>211</v>
      </c>
      <c r="O302" s="110">
        <v>1230</v>
      </c>
      <c r="P302" s="110">
        <v>1290</v>
      </c>
      <c r="Q302" s="114" t="s">
        <v>458</v>
      </c>
    </row>
    <row r="303" spans="1:17">
      <c r="A303" s="97">
        <v>302</v>
      </c>
      <c r="B303" s="101" t="s">
        <v>212</v>
      </c>
      <c r="C303" s="101">
        <v>46148</v>
      </c>
      <c r="D303" s="101">
        <v>46183</v>
      </c>
      <c r="E303" s="113">
        <v>3775</v>
      </c>
      <c r="F303" s="98" t="s">
        <v>367</v>
      </c>
      <c r="G303" s="99" t="s">
        <v>144</v>
      </c>
      <c r="H303" s="100" t="s">
        <v>217</v>
      </c>
      <c r="I303" s="104" t="s">
        <v>214</v>
      </c>
      <c r="J303" s="102" t="s">
        <v>146</v>
      </c>
      <c r="K303" s="103">
        <v>14</v>
      </c>
      <c r="L303" s="104" t="s">
        <v>110</v>
      </c>
      <c r="M303" s="104" t="s">
        <v>147</v>
      </c>
      <c r="N303" s="104" t="s">
        <v>211</v>
      </c>
      <c r="O303" s="110">
        <v>1230</v>
      </c>
      <c r="P303" s="110">
        <v>1290</v>
      </c>
      <c r="Q303" s="114" t="s">
        <v>458</v>
      </c>
    </row>
    <row r="304" spans="1:17">
      <c r="A304" s="97">
        <v>303</v>
      </c>
      <c r="B304" s="101" t="s">
        <v>212</v>
      </c>
      <c r="C304" s="101">
        <v>46148</v>
      </c>
      <c r="D304" s="101">
        <v>46183</v>
      </c>
      <c r="E304" s="113">
        <v>3783</v>
      </c>
      <c r="F304" s="98" t="s">
        <v>244</v>
      </c>
      <c r="G304" s="99" t="s">
        <v>144</v>
      </c>
      <c r="H304" s="100" t="s">
        <v>248</v>
      </c>
      <c r="I304" s="104" t="s">
        <v>267</v>
      </c>
      <c r="J304" s="102" t="s">
        <v>146</v>
      </c>
      <c r="K304" s="103">
        <v>14</v>
      </c>
      <c r="L304" s="104" t="s">
        <v>110</v>
      </c>
      <c r="M304" s="104" t="s">
        <v>147</v>
      </c>
      <c r="N304" s="104" t="s">
        <v>211</v>
      </c>
      <c r="O304" s="110">
        <v>1230</v>
      </c>
      <c r="P304" s="110">
        <v>1290</v>
      </c>
      <c r="Q304" s="114" t="s">
        <v>458</v>
      </c>
    </row>
    <row r="305" spans="1:17">
      <c r="A305" s="97">
        <v>304</v>
      </c>
      <c r="B305" s="101" t="s">
        <v>212</v>
      </c>
      <c r="C305" s="101">
        <v>46148</v>
      </c>
      <c r="D305" s="101">
        <v>46183</v>
      </c>
      <c r="E305" s="113">
        <v>3766</v>
      </c>
      <c r="F305" s="98" t="s">
        <v>228</v>
      </c>
      <c r="G305" s="99" t="s">
        <v>144</v>
      </c>
      <c r="H305" s="100" t="s">
        <v>202</v>
      </c>
      <c r="I305" s="104" t="s">
        <v>369</v>
      </c>
      <c r="J305" s="102" t="s">
        <v>146</v>
      </c>
      <c r="K305" s="103">
        <v>14</v>
      </c>
      <c r="L305" s="104" t="s">
        <v>110</v>
      </c>
      <c r="M305" s="104" t="s">
        <v>147</v>
      </c>
      <c r="N305" s="104" t="s">
        <v>211</v>
      </c>
      <c r="O305" s="110">
        <v>1230</v>
      </c>
      <c r="P305" s="110">
        <v>1290</v>
      </c>
      <c r="Q305" s="114" t="s">
        <v>458</v>
      </c>
    </row>
    <row r="306" spans="1:17">
      <c r="A306" s="97">
        <v>305</v>
      </c>
      <c r="B306" s="101" t="s">
        <v>212</v>
      </c>
      <c r="C306" s="101">
        <v>46148</v>
      </c>
      <c r="D306" s="101">
        <v>46183</v>
      </c>
      <c r="E306" s="113">
        <v>3778</v>
      </c>
      <c r="F306" s="98" t="s">
        <v>298</v>
      </c>
      <c r="G306" s="99" t="s">
        <v>144</v>
      </c>
      <c r="H306" s="100" t="s">
        <v>199</v>
      </c>
      <c r="I306" s="104" t="s">
        <v>371</v>
      </c>
      <c r="J306" s="102" t="s">
        <v>146</v>
      </c>
      <c r="K306" s="103">
        <v>7</v>
      </c>
      <c r="L306" s="104" t="s">
        <v>110</v>
      </c>
      <c r="M306" s="104" t="s">
        <v>147</v>
      </c>
      <c r="N306" s="104" t="s">
        <v>211</v>
      </c>
      <c r="O306" s="110">
        <v>1230</v>
      </c>
      <c r="P306" s="110">
        <v>1290</v>
      </c>
      <c r="Q306" s="114" t="s">
        <v>458</v>
      </c>
    </row>
    <row r="307" spans="1:17">
      <c r="A307" s="97">
        <v>306</v>
      </c>
      <c r="B307" s="101" t="s">
        <v>212</v>
      </c>
      <c r="C307" s="101">
        <v>46148</v>
      </c>
      <c r="D307" s="101">
        <v>46183</v>
      </c>
      <c r="E307" s="113">
        <v>3777</v>
      </c>
      <c r="F307" s="98" t="s">
        <v>368</v>
      </c>
      <c r="G307" s="99" t="s">
        <v>144</v>
      </c>
      <c r="H307" s="100" t="s">
        <v>218</v>
      </c>
      <c r="I307" s="104" t="s">
        <v>372</v>
      </c>
      <c r="J307" s="102" t="s">
        <v>146</v>
      </c>
      <c r="K307" s="103">
        <v>7</v>
      </c>
      <c r="L307" s="104" t="s">
        <v>110</v>
      </c>
      <c r="M307" s="104" t="s">
        <v>147</v>
      </c>
      <c r="N307" s="104" t="s">
        <v>211</v>
      </c>
      <c r="O307" s="110">
        <v>1230</v>
      </c>
      <c r="P307" s="110">
        <v>1290</v>
      </c>
      <c r="Q307" s="114" t="s">
        <v>458</v>
      </c>
    </row>
    <row r="308" spans="1:17">
      <c r="A308" s="97">
        <v>307</v>
      </c>
      <c r="B308" s="101" t="s">
        <v>212</v>
      </c>
      <c r="C308" s="101">
        <v>46148</v>
      </c>
      <c r="D308" s="101">
        <v>46183</v>
      </c>
      <c r="E308" s="113">
        <v>3773</v>
      </c>
      <c r="F308" s="98" t="s">
        <v>321</v>
      </c>
      <c r="G308" s="99" t="s">
        <v>144</v>
      </c>
      <c r="H308" s="100" t="s">
        <v>306</v>
      </c>
      <c r="I308" s="104" t="s">
        <v>325</v>
      </c>
      <c r="J308" s="102" t="s">
        <v>146</v>
      </c>
      <c r="K308" s="103">
        <v>14</v>
      </c>
      <c r="L308" s="104" t="s">
        <v>110</v>
      </c>
      <c r="M308" s="104" t="s">
        <v>147</v>
      </c>
      <c r="N308" s="104" t="s">
        <v>211</v>
      </c>
      <c r="O308" s="110">
        <v>1230</v>
      </c>
      <c r="P308" s="110">
        <v>1290</v>
      </c>
      <c r="Q308" s="114" t="s">
        <v>458</v>
      </c>
    </row>
    <row r="309" spans="1:17">
      <c r="A309" s="97">
        <v>308</v>
      </c>
      <c r="B309" s="101" t="s">
        <v>212</v>
      </c>
      <c r="C309" s="101">
        <v>46148</v>
      </c>
      <c r="D309" s="101">
        <v>46183</v>
      </c>
      <c r="E309" s="113">
        <v>3787</v>
      </c>
      <c r="F309" s="98" t="s">
        <v>228</v>
      </c>
      <c r="G309" s="99" t="s">
        <v>144</v>
      </c>
      <c r="H309" s="100" t="s">
        <v>202</v>
      </c>
      <c r="I309" s="104" t="s">
        <v>369</v>
      </c>
      <c r="J309" s="102" t="s">
        <v>146</v>
      </c>
      <c r="K309" s="103">
        <v>14</v>
      </c>
      <c r="L309" s="104" t="s">
        <v>110</v>
      </c>
      <c r="M309" s="104" t="s">
        <v>147</v>
      </c>
      <c r="N309" s="104" t="s">
        <v>211</v>
      </c>
      <c r="O309" s="110">
        <v>1230</v>
      </c>
      <c r="P309" s="110">
        <v>1290</v>
      </c>
      <c r="Q309" s="114" t="s">
        <v>458</v>
      </c>
    </row>
    <row r="310" spans="1:17">
      <c r="A310" s="97">
        <v>309</v>
      </c>
      <c r="B310" s="101" t="s">
        <v>212</v>
      </c>
      <c r="C310" s="101">
        <v>46148</v>
      </c>
      <c r="D310" s="101">
        <v>46183</v>
      </c>
      <c r="E310" s="113">
        <v>3780</v>
      </c>
      <c r="F310" s="98" t="s">
        <v>254</v>
      </c>
      <c r="G310" s="99" t="s">
        <v>144</v>
      </c>
      <c r="H310" s="100" t="s">
        <v>259</v>
      </c>
      <c r="I310" s="104" t="s">
        <v>264</v>
      </c>
      <c r="J310" s="102" t="s">
        <v>146</v>
      </c>
      <c r="K310" s="103">
        <v>7</v>
      </c>
      <c r="L310" s="104" t="s">
        <v>110</v>
      </c>
      <c r="M310" s="104" t="s">
        <v>147</v>
      </c>
      <c r="N310" s="104" t="s">
        <v>211</v>
      </c>
      <c r="O310" s="110">
        <v>1230</v>
      </c>
      <c r="P310" s="110">
        <v>1290</v>
      </c>
      <c r="Q310" s="114" t="s">
        <v>458</v>
      </c>
    </row>
    <row r="311" spans="1:17">
      <c r="A311" s="97">
        <v>310</v>
      </c>
      <c r="B311" s="101" t="s">
        <v>212</v>
      </c>
      <c r="C311" s="101">
        <v>46148</v>
      </c>
      <c r="D311" s="101">
        <v>46183</v>
      </c>
      <c r="E311" s="113">
        <v>3784</v>
      </c>
      <c r="F311" s="98" t="s">
        <v>362</v>
      </c>
      <c r="G311" s="99" t="s">
        <v>144</v>
      </c>
      <c r="H311" s="100" t="s">
        <v>260</v>
      </c>
      <c r="I311" s="104" t="s">
        <v>288</v>
      </c>
      <c r="J311" s="102" t="s">
        <v>146</v>
      </c>
      <c r="K311" s="103">
        <v>14</v>
      </c>
      <c r="L311" s="104" t="s">
        <v>110</v>
      </c>
      <c r="M311" s="104" t="s">
        <v>147</v>
      </c>
      <c r="N311" s="104" t="s">
        <v>211</v>
      </c>
      <c r="O311" s="110">
        <v>1230</v>
      </c>
      <c r="P311" s="110">
        <v>1290</v>
      </c>
      <c r="Q311" s="114" t="s">
        <v>458</v>
      </c>
    </row>
    <row r="312" spans="1:17">
      <c r="A312" s="97">
        <v>311</v>
      </c>
      <c r="B312" s="101" t="s">
        <v>212</v>
      </c>
      <c r="C312" s="101">
        <v>46148</v>
      </c>
      <c r="D312" s="101">
        <v>46183</v>
      </c>
      <c r="E312" s="113">
        <v>3785</v>
      </c>
      <c r="F312" s="98" t="s">
        <v>223</v>
      </c>
      <c r="G312" s="99" t="s">
        <v>144</v>
      </c>
      <c r="H312" s="100" t="s">
        <v>197</v>
      </c>
      <c r="I312" s="104" t="s">
        <v>204</v>
      </c>
      <c r="J312" s="102" t="s">
        <v>146</v>
      </c>
      <c r="K312" s="103">
        <v>7</v>
      </c>
      <c r="L312" s="104" t="s">
        <v>110</v>
      </c>
      <c r="M312" s="104" t="s">
        <v>147</v>
      </c>
      <c r="N312" s="104" t="s">
        <v>211</v>
      </c>
      <c r="O312" s="110">
        <v>1230</v>
      </c>
      <c r="P312" s="110">
        <v>1290</v>
      </c>
      <c r="Q312" s="114" t="s">
        <v>458</v>
      </c>
    </row>
    <row r="313" spans="1:17">
      <c r="A313" s="97">
        <v>312</v>
      </c>
      <c r="B313" s="101" t="s">
        <v>212</v>
      </c>
      <c r="C313" s="101">
        <v>46148</v>
      </c>
      <c r="D313" s="101">
        <v>46183</v>
      </c>
      <c r="E313" s="113">
        <v>3782</v>
      </c>
      <c r="F313" s="98" t="s">
        <v>244</v>
      </c>
      <c r="G313" s="99" t="s">
        <v>144</v>
      </c>
      <c r="H313" s="100" t="s">
        <v>248</v>
      </c>
      <c r="I313" s="104" t="s">
        <v>267</v>
      </c>
      <c r="J313" s="102" t="s">
        <v>146</v>
      </c>
      <c r="K313" s="103">
        <v>14</v>
      </c>
      <c r="L313" s="104" t="s">
        <v>110</v>
      </c>
      <c r="M313" s="104" t="s">
        <v>147</v>
      </c>
      <c r="N313" s="104" t="s">
        <v>211</v>
      </c>
      <c r="O313" s="110">
        <v>1230</v>
      </c>
      <c r="P313" s="110">
        <v>1290</v>
      </c>
      <c r="Q313" s="114" t="s">
        <v>458</v>
      </c>
    </row>
    <row r="314" spans="1:17">
      <c r="A314" s="97">
        <v>313</v>
      </c>
      <c r="B314" s="101" t="s">
        <v>212</v>
      </c>
      <c r="C314" s="101">
        <v>46148</v>
      </c>
      <c r="D314" s="101">
        <v>46183</v>
      </c>
      <c r="E314" s="113">
        <v>3779</v>
      </c>
      <c r="F314" s="98" t="s">
        <v>298</v>
      </c>
      <c r="G314" s="99" t="s">
        <v>144</v>
      </c>
      <c r="H314" s="100" t="s">
        <v>199</v>
      </c>
      <c r="I314" s="104" t="s">
        <v>371</v>
      </c>
      <c r="J314" s="102" t="s">
        <v>146</v>
      </c>
      <c r="K314" s="103">
        <v>7</v>
      </c>
      <c r="L314" s="104" t="s">
        <v>110</v>
      </c>
      <c r="M314" s="104" t="s">
        <v>147</v>
      </c>
      <c r="N314" s="104" t="s">
        <v>211</v>
      </c>
      <c r="O314" s="110">
        <v>1230</v>
      </c>
      <c r="P314" s="110">
        <v>1290</v>
      </c>
      <c r="Q314" s="114" t="s">
        <v>458</v>
      </c>
    </row>
    <row r="315" spans="1:17">
      <c r="A315" s="97">
        <v>314</v>
      </c>
      <c r="B315" s="101" t="s">
        <v>212</v>
      </c>
      <c r="C315" s="101">
        <v>46148</v>
      </c>
      <c r="D315" s="101">
        <v>46183</v>
      </c>
      <c r="E315" s="113">
        <v>3774</v>
      </c>
      <c r="F315" s="98" t="s">
        <v>367</v>
      </c>
      <c r="G315" s="99" t="s">
        <v>144</v>
      </c>
      <c r="H315" s="100" t="s">
        <v>217</v>
      </c>
      <c r="I315" s="104" t="s">
        <v>373</v>
      </c>
      <c r="J315" s="102" t="s">
        <v>146</v>
      </c>
      <c r="K315" s="103">
        <v>14</v>
      </c>
      <c r="L315" s="104" t="s">
        <v>110</v>
      </c>
      <c r="M315" s="104" t="s">
        <v>147</v>
      </c>
      <c r="N315" s="104" t="s">
        <v>211</v>
      </c>
      <c r="O315" s="110">
        <v>1230</v>
      </c>
      <c r="P315" s="110">
        <v>1290</v>
      </c>
      <c r="Q315" s="114" t="s">
        <v>458</v>
      </c>
    </row>
    <row r="316" spans="1:17">
      <c r="A316" s="97">
        <v>315</v>
      </c>
      <c r="B316" s="101" t="s">
        <v>212</v>
      </c>
      <c r="C316" s="101">
        <v>46148</v>
      </c>
      <c r="D316" s="101">
        <v>46183</v>
      </c>
      <c r="E316" s="113">
        <v>3776</v>
      </c>
      <c r="F316" s="98" t="s">
        <v>366</v>
      </c>
      <c r="G316" s="99" t="s">
        <v>144</v>
      </c>
      <c r="H316" s="100" t="s">
        <v>218</v>
      </c>
      <c r="I316" s="104" t="s">
        <v>372</v>
      </c>
      <c r="J316" s="102" t="s">
        <v>146</v>
      </c>
      <c r="K316" s="103">
        <v>7</v>
      </c>
      <c r="L316" s="104" t="s">
        <v>110</v>
      </c>
      <c r="M316" s="104" t="s">
        <v>147</v>
      </c>
      <c r="N316" s="104" t="s">
        <v>211</v>
      </c>
      <c r="O316" s="110">
        <v>1230</v>
      </c>
      <c r="P316" s="110">
        <v>1290</v>
      </c>
      <c r="Q316" s="114" t="s">
        <v>458</v>
      </c>
    </row>
    <row r="317" spans="1:17">
      <c r="A317" s="97">
        <v>316</v>
      </c>
      <c r="B317" s="101" t="s">
        <v>212</v>
      </c>
      <c r="C317" s="101">
        <v>46148</v>
      </c>
      <c r="D317" s="101">
        <v>46183</v>
      </c>
      <c r="E317" s="113">
        <v>3772</v>
      </c>
      <c r="F317" s="98" t="s">
        <v>321</v>
      </c>
      <c r="G317" s="99" t="s">
        <v>144</v>
      </c>
      <c r="H317" s="100" t="s">
        <v>306</v>
      </c>
      <c r="I317" s="104" t="s">
        <v>325</v>
      </c>
      <c r="J317" s="102" t="s">
        <v>146</v>
      </c>
      <c r="K317" s="103">
        <v>14</v>
      </c>
      <c r="L317" s="104" t="s">
        <v>110</v>
      </c>
      <c r="M317" s="104" t="s">
        <v>147</v>
      </c>
      <c r="N317" s="104" t="s">
        <v>211</v>
      </c>
      <c r="O317" s="110">
        <v>1230</v>
      </c>
      <c r="P317" s="110">
        <v>1290</v>
      </c>
      <c r="Q317" s="114" t="s">
        <v>458</v>
      </c>
    </row>
    <row r="318" spans="1:17" ht="15" customHeight="1">
      <c r="A318" s="97">
        <v>317</v>
      </c>
      <c r="B318" s="101" t="s">
        <v>184</v>
      </c>
      <c r="C318" s="101">
        <v>46148</v>
      </c>
      <c r="D318" s="117">
        <v>46184</v>
      </c>
      <c r="E318" s="106">
        <v>64477</v>
      </c>
      <c r="F318" s="98" t="s">
        <v>512</v>
      </c>
      <c r="G318" s="99" t="s">
        <v>101</v>
      </c>
      <c r="H318" s="100" t="s">
        <v>128</v>
      </c>
      <c r="I318" s="104" t="s">
        <v>316</v>
      </c>
      <c r="J318" s="102" t="s">
        <v>250</v>
      </c>
      <c r="K318" s="103">
        <v>30</v>
      </c>
      <c r="L318" s="104" t="s">
        <v>110</v>
      </c>
      <c r="M318" s="104" t="s">
        <v>139</v>
      </c>
      <c r="N318" s="104"/>
      <c r="O318" s="109"/>
      <c r="P318" s="109"/>
      <c r="Q318" s="105" t="s">
        <v>458</v>
      </c>
    </row>
    <row r="319" spans="1:17" ht="15" customHeight="1">
      <c r="A319" s="97">
        <v>318</v>
      </c>
      <c r="B319" s="101" t="s">
        <v>184</v>
      </c>
      <c r="C319" s="101">
        <v>46148</v>
      </c>
      <c r="D319" s="117">
        <v>46184</v>
      </c>
      <c r="E319" s="106">
        <v>64467</v>
      </c>
      <c r="F319" s="98" t="s">
        <v>521</v>
      </c>
      <c r="G319" s="99" t="s">
        <v>144</v>
      </c>
      <c r="H319" s="100">
        <v>2</v>
      </c>
      <c r="I319" s="104" t="s">
        <v>526</v>
      </c>
      <c r="J319" s="102" t="s">
        <v>250</v>
      </c>
      <c r="K319" s="103">
        <v>30</v>
      </c>
      <c r="L319" s="104" t="s">
        <v>110</v>
      </c>
      <c r="M319" s="104" t="s">
        <v>139</v>
      </c>
      <c r="N319" s="104"/>
      <c r="O319" s="109"/>
      <c r="P319" s="109"/>
      <c r="Q319" s="105" t="s">
        <v>458</v>
      </c>
    </row>
    <row r="320" spans="1:17" ht="15" customHeight="1">
      <c r="A320" s="97">
        <v>319</v>
      </c>
      <c r="B320" s="101" t="s">
        <v>184</v>
      </c>
      <c r="C320" s="101">
        <v>46148</v>
      </c>
      <c r="D320" s="117">
        <v>46184</v>
      </c>
      <c r="E320" s="106">
        <v>64473</v>
      </c>
      <c r="F320" s="98" t="s">
        <v>514</v>
      </c>
      <c r="G320" s="99" t="s">
        <v>101</v>
      </c>
      <c r="H320" s="100" t="s">
        <v>505</v>
      </c>
      <c r="I320" s="104" t="s">
        <v>317</v>
      </c>
      <c r="J320" s="102" t="s">
        <v>250</v>
      </c>
      <c r="K320" s="103">
        <v>30</v>
      </c>
      <c r="L320" s="104" t="s">
        <v>110</v>
      </c>
      <c r="M320" s="104" t="s">
        <v>139</v>
      </c>
      <c r="N320" s="104"/>
      <c r="O320" s="109"/>
      <c r="P320" s="109"/>
      <c r="Q320" s="105" t="s">
        <v>458</v>
      </c>
    </row>
    <row r="321" spans="1:17" ht="15" customHeight="1">
      <c r="A321" s="97">
        <v>320</v>
      </c>
      <c r="B321" s="101" t="s">
        <v>184</v>
      </c>
      <c r="C321" s="101">
        <v>46148</v>
      </c>
      <c r="D321" s="117">
        <v>46184</v>
      </c>
      <c r="E321" s="106">
        <v>64551</v>
      </c>
      <c r="F321" s="98" t="s">
        <v>508</v>
      </c>
      <c r="G321" s="99" t="s">
        <v>144</v>
      </c>
      <c r="H321" s="100">
        <v>3</v>
      </c>
      <c r="I321" s="104" t="s">
        <v>527</v>
      </c>
      <c r="J321" s="102" t="s">
        <v>250</v>
      </c>
      <c r="K321" s="103">
        <v>30</v>
      </c>
      <c r="L321" s="104" t="s">
        <v>110</v>
      </c>
      <c r="M321" s="104" t="s">
        <v>139</v>
      </c>
      <c r="N321" s="104"/>
      <c r="O321" s="109"/>
      <c r="P321" s="109"/>
      <c r="Q321" s="105" t="s">
        <v>458</v>
      </c>
    </row>
    <row r="322" spans="1:17" ht="15" customHeight="1">
      <c r="A322" s="97">
        <v>321</v>
      </c>
      <c r="B322" s="101" t="s">
        <v>184</v>
      </c>
      <c r="C322" s="101">
        <v>46148</v>
      </c>
      <c r="D322" s="117">
        <v>46184</v>
      </c>
      <c r="E322" s="106">
        <v>64468</v>
      </c>
      <c r="F322" s="98" t="s">
        <v>508</v>
      </c>
      <c r="G322" s="99" t="s">
        <v>144</v>
      </c>
      <c r="H322" s="100">
        <v>3</v>
      </c>
      <c r="I322" s="104" t="s">
        <v>527</v>
      </c>
      <c r="J322" s="102" t="s">
        <v>250</v>
      </c>
      <c r="K322" s="103">
        <v>30</v>
      </c>
      <c r="L322" s="104" t="s">
        <v>110</v>
      </c>
      <c r="M322" s="104" t="s">
        <v>139</v>
      </c>
      <c r="N322" s="104"/>
      <c r="O322" s="109"/>
      <c r="P322" s="109"/>
      <c r="Q322" s="105" t="s">
        <v>458</v>
      </c>
    </row>
    <row r="323" spans="1:17" ht="15" customHeight="1">
      <c r="A323" s="97">
        <v>322</v>
      </c>
      <c r="B323" s="101" t="s">
        <v>184</v>
      </c>
      <c r="C323" s="101">
        <v>46148</v>
      </c>
      <c r="D323" s="117">
        <v>46184</v>
      </c>
      <c r="E323" s="106">
        <v>64469</v>
      </c>
      <c r="F323" s="98" t="s">
        <v>508</v>
      </c>
      <c r="G323" s="99" t="s">
        <v>144</v>
      </c>
      <c r="H323" s="100">
        <v>3</v>
      </c>
      <c r="I323" s="104" t="s">
        <v>527</v>
      </c>
      <c r="J323" s="102" t="s">
        <v>250</v>
      </c>
      <c r="K323" s="103">
        <v>30</v>
      </c>
      <c r="L323" s="104" t="s">
        <v>110</v>
      </c>
      <c r="M323" s="104" t="s">
        <v>139</v>
      </c>
      <c r="N323" s="104"/>
      <c r="O323" s="109"/>
      <c r="P323" s="109"/>
      <c r="Q323" s="105" t="s">
        <v>458</v>
      </c>
    </row>
    <row r="324" spans="1:17" ht="15" customHeight="1">
      <c r="A324" s="97">
        <v>323</v>
      </c>
      <c r="B324" s="101" t="s">
        <v>184</v>
      </c>
      <c r="C324" s="101">
        <v>46148</v>
      </c>
      <c r="D324" s="117">
        <v>46184</v>
      </c>
      <c r="E324" s="106">
        <v>64470</v>
      </c>
      <c r="F324" s="98" t="s">
        <v>508</v>
      </c>
      <c r="G324" s="99" t="s">
        <v>144</v>
      </c>
      <c r="H324" s="100">
        <v>3</v>
      </c>
      <c r="I324" s="104" t="s">
        <v>527</v>
      </c>
      <c r="J324" s="102" t="s">
        <v>250</v>
      </c>
      <c r="K324" s="103">
        <v>30</v>
      </c>
      <c r="L324" s="104" t="s">
        <v>110</v>
      </c>
      <c r="M324" s="104" t="s">
        <v>139</v>
      </c>
      <c r="N324" s="104"/>
      <c r="O324" s="109"/>
      <c r="P324" s="109"/>
      <c r="Q324" s="105" t="s">
        <v>458</v>
      </c>
    </row>
    <row r="325" spans="1:17" ht="15" customHeight="1">
      <c r="A325" s="97">
        <v>324</v>
      </c>
      <c r="B325" s="101" t="s">
        <v>184</v>
      </c>
      <c r="C325" s="101">
        <v>46148</v>
      </c>
      <c r="D325" s="117">
        <v>46184</v>
      </c>
      <c r="E325" s="106">
        <v>64471</v>
      </c>
      <c r="F325" s="98" t="s">
        <v>508</v>
      </c>
      <c r="G325" s="99" t="s">
        <v>144</v>
      </c>
      <c r="H325" s="100">
        <v>3</v>
      </c>
      <c r="I325" s="104" t="s">
        <v>527</v>
      </c>
      <c r="J325" s="102" t="s">
        <v>250</v>
      </c>
      <c r="K325" s="103">
        <v>30</v>
      </c>
      <c r="L325" s="104" t="s">
        <v>110</v>
      </c>
      <c r="M325" s="104" t="s">
        <v>139</v>
      </c>
      <c r="N325" s="104"/>
      <c r="O325" s="109"/>
      <c r="P325" s="109"/>
      <c r="Q325" s="105" t="s">
        <v>458</v>
      </c>
    </row>
    <row r="326" spans="1:17" ht="15" customHeight="1">
      <c r="A326" s="97">
        <v>325</v>
      </c>
      <c r="B326" s="101" t="s">
        <v>184</v>
      </c>
      <c r="C326" s="101">
        <v>46148</v>
      </c>
      <c r="D326" s="117">
        <v>46184</v>
      </c>
      <c r="E326" s="106">
        <v>64461</v>
      </c>
      <c r="F326" s="98" t="s">
        <v>514</v>
      </c>
      <c r="G326" s="99" t="s">
        <v>144</v>
      </c>
      <c r="H326" s="100">
        <v>3</v>
      </c>
      <c r="I326" s="104" t="s">
        <v>527</v>
      </c>
      <c r="J326" s="102" t="s">
        <v>250</v>
      </c>
      <c r="K326" s="103">
        <v>30</v>
      </c>
      <c r="L326" s="104" t="s">
        <v>110</v>
      </c>
      <c r="M326" s="104" t="s">
        <v>139</v>
      </c>
      <c r="N326" s="104"/>
      <c r="O326" s="109"/>
      <c r="P326" s="109"/>
      <c r="Q326" s="105" t="s">
        <v>458</v>
      </c>
    </row>
    <row r="327" spans="1:17" ht="15" customHeight="1">
      <c r="A327" s="97">
        <v>326</v>
      </c>
      <c r="B327" s="101" t="s">
        <v>184</v>
      </c>
      <c r="C327" s="101">
        <v>46148</v>
      </c>
      <c r="D327" s="117">
        <v>46184</v>
      </c>
      <c r="E327" s="106">
        <v>64462</v>
      </c>
      <c r="F327" s="98" t="s">
        <v>514</v>
      </c>
      <c r="G327" s="99" t="s">
        <v>101</v>
      </c>
      <c r="H327" s="100" t="s">
        <v>505</v>
      </c>
      <c r="I327" s="104" t="s">
        <v>317</v>
      </c>
      <c r="J327" s="102" t="s">
        <v>250</v>
      </c>
      <c r="K327" s="103">
        <v>30</v>
      </c>
      <c r="L327" s="104" t="s">
        <v>110</v>
      </c>
      <c r="M327" s="104" t="s">
        <v>139</v>
      </c>
      <c r="N327" s="104"/>
      <c r="O327" s="109"/>
      <c r="P327" s="109"/>
      <c r="Q327" s="105" t="s">
        <v>458</v>
      </c>
    </row>
    <row r="328" spans="1:17" ht="15" customHeight="1">
      <c r="A328" s="97">
        <v>327</v>
      </c>
      <c r="B328" s="101" t="s">
        <v>184</v>
      </c>
      <c r="C328" s="101">
        <v>46148</v>
      </c>
      <c r="D328" s="117">
        <v>46184</v>
      </c>
      <c r="E328" s="106">
        <v>64463</v>
      </c>
      <c r="F328" s="98" t="s">
        <v>514</v>
      </c>
      <c r="G328" s="99" t="s">
        <v>101</v>
      </c>
      <c r="H328" s="100" t="s">
        <v>505</v>
      </c>
      <c r="I328" s="104" t="s">
        <v>317</v>
      </c>
      <c r="J328" s="102" t="s">
        <v>250</v>
      </c>
      <c r="K328" s="103">
        <v>30</v>
      </c>
      <c r="L328" s="104" t="s">
        <v>110</v>
      </c>
      <c r="M328" s="104" t="s">
        <v>139</v>
      </c>
      <c r="N328" s="104"/>
      <c r="O328" s="109"/>
      <c r="P328" s="109"/>
      <c r="Q328" s="105" t="s">
        <v>458</v>
      </c>
    </row>
    <row r="329" spans="1:17" ht="15" customHeight="1">
      <c r="A329" s="97">
        <v>328</v>
      </c>
      <c r="B329" s="101" t="s">
        <v>184</v>
      </c>
      <c r="C329" s="101">
        <v>46148</v>
      </c>
      <c r="D329" s="117">
        <v>46184</v>
      </c>
      <c r="E329" s="106">
        <v>64472</v>
      </c>
      <c r="F329" s="98" t="s">
        <v>514</v>
      </c>
      <c r="G329" s="99" t="s">
        <v>101</v>
      </c>
      <c r="H329" s="100" t="s">
        <v>505</v>
      </c>
      <c r="I329" s="104" t="s">
        <v>317</v>
      </c>
      <c r="J329" s="102" t="s">
        <v>250</v>
      </c>
      <c r="K329" s="103">
        <v>30</v>
      </c>
      <c r="L329" s="104" t="s">
        <v>110</v>
      </c>
      <c r="M329" s="104" t="s">
        <v>139</v>
      </c>
      <c r="N329" s="104"/>
      <c r="O329" s="109"/>
      <c r="P329" s="109"/>
      <c r="Q329" s="105" t="s">
        <v>458</v>
      </c>
    </row>
    <row r="330" spans="1:17" ht="15" customHeight="1">
      <c r="A330" s="97">
        <v>329</v>
      </c>
      <c r="B330" s="101" t="s">
        <v>184</v>
      </c>
      <c r="C330" s="101">
        <v>46148</v>
      </c>
      <c r="D330" s="117">
        <v>46184</v>
      </c>
      <c r="E330" s="106">
        <v>64552</v>
      </c>
      <c r="F330" s="98" t="s">
        <v>522</v>
      </c>
      <c r="G330" s="99" t="s">
        <v>144</v>
      </c>
      <c r="H330" s="100">
        <v>2</v>
      </c>
      <c r="I330" s="104" t="s">
        <v>526</v>
      </c>
      <c r="J330" s="102" t="s">
        <v>250</v>
      </c>
      <c r="K330" s="103">
        <v>30</v>
      </c>
      <c r="L330" s="104" t="s">
        <v>110</v>
      </c>
      <c r="M330" s="104" t="s">
        <v>139</v>
      </c>
      <c r="N330" s="104"/>
      <c r="O330" s="109"/>
      <c r="P330" s="109"/>
      <c r="Q330" s="105" t="s">
        <v>458</v>
      </c>
    </row>
    <row r="331" spans="1:17" ht="15" customHeight="1">
      <c r="A331" s="97">
        <v>330</v>
      </c>
      <c r="B331" s="101" t="s">
        <v>184</v>
      </c>
      <c r="C331" s="101">
        <v>46148</v>
      </c>
      <c r="D331" s="117">
        <v>46184</v>
      </c>
      <c r="E331" s="106">
        <v>64466</v>
      </c>
      <c r="F331" s="98" t="s">
        <v>523</v>
      </c>
      <c r="G331" s="99" t="s">
        <v>144</v>
      </c>
      <c r="H331" s="100">
        <v>2</v>
      </c>
      <c r="I331" s="104" t="s">
        <v>526</v>
      </c>
      <c r="J331" s="102" t="s">
        <v>250</v>
      </c>
      <c r="K331" s="103">
        <v>30</v>
      </c>
      <c r="L331" s="104" t="s">
        <v>110</v>
      </c>
      <c r="M331" s="104" t="s">
        <v>139</v>
      </c>
      <c r="N331" s="104"/>
      <c r="O331" s="109"/>
      <c r="P331" s="109"/>
      <c r="Q331" s="105" t="s">
        <v>458</v>
      </c>
    </row>
    <row r="332" spans="1:17" ht="15" customHeight="1">
      <c r="A332" s="97">
        <v>331</v>
      </c>
      <c r="B332" s="101" t="s">
        <v>184</v>
      </c>
      <c r="C332" s="101">
        <v>46148</v>
      </c>
      <c r="D332" s="117">
        <v>46184</v>
      </c>
      <c r="E332" s="106">
        <v>64464</v>
      </c>
      <c r="F332" s="98" t="s">
        <v>523</v>
      </c>
      <c r="G332" s="99" t="s">
        <v>144</v>
      </c>
      <c r="H332" s="100">
        <v>2</v>
      </c>
      <c r="I332" s="104" t="s">
        <v>526</v>
      </c>
      <c r="J332" s="102" t="s">
        <v>250</v>
      </c>
      <c r="K332" s="103">
        <v>30</v>
      </c>
      <c r="L332" s="104" t="s">
        <v>110</v>
      </c>
      <c r="M332" s="104" t="s">
        <v>139</v>
      </c>
      <c r="N332" s="104"/>
      <c r="O332" s="109"/>
      <c r="P332" s="109"/>
      <c r="Q332" s="105" t="s">
        <v>458</v>
      </c>
    </row>
    <row r="333" spans="1:17" ht="15" customHeight="1">
      <c r="A333" s="97">
        <v>332</v>
      </c>
      <c r="B333" s="101" t="s">
        <v>184</v>
      </c>
      <c r="C333" s="101">
        <v>46148</v>
      </c>
      <c r="D333" s="117">
        <v>46184</v>
      </c>
      <c r="E333" s="106">
        <v>64465</v>
      </c>
      <c r="F333" s="98" t="s">
        <v>523</v>
      </c>
      <c r="G333" s="99" t="s">
        <v>144</v>
      </c>
      <c r="H333" s="100">
        <v>2</v>
      </c>
      <c r="I333" s="104" t="s">
        <v>526</v>
      </c>
      <c r="J333" s="102" t="s">
        <v>250</v>
      </c>
      <c r="K333" s="103">
        <v>30</v>
      </c>
      <c r="L333" s="104" t="s">
        <v>110</v>
      </c>
      <c r="M333" s="104" t="s">
        <v>139</v>
      </c>
      <c r="N333" s="104"/>
      <c r="O333" s="109"/>
      <c r="P333" s="109"/>
      <c r="Q333" s="105" t="s">
        <v>458</v>
      </c>
    </row>
    <row r="334" spans="1:17" ht="15" customHeight="1">
      <c r="A334" s="97">
        <v>333</v>
      </c>
      <c r="B334" s="101" t="s">
        <v>184</v>
      </c>
      <c r="C334" s="101">
        <v>46148</v>
      </c>
      <c r="D334" s="117">
        <v>46184</v>
      </c>
      <c r="E334" s="106">
        <v>64478</v>
      </c>
      <c r="F334" s="98" t="s">
        <v>512</v>
      </c>
      <c r="G334" s="99" t="s">
        <v>101</v>
      </c>
      <c r="H334" s="100" t="s">
        <v>504</v>
      </c>
      <c r="I334" s="104" t="s">
        <v>316</v>
      </c>
      <c r="J334" s="102" t="s">
        <v>250</v>
      </c>
      <c r="K334" s="103">
        <v>30</v>
      </c>
      <c r="L334" s="104" t="s">
        <v>110</v>
      </c>
      <c r="M334" s="104" t="s">
        <v>139</v>
      </c>
      <c r="N334" s="104"/>
      <c r="O334" s="109"/>
      <c r="P334" s="109"/>
      <c r="Q334" s="105" t="s">
        <v>458</v>
      </c>
    </row>
    <row r="335" spans="1:17" ht="15" customHeight="1">
      <c r="A335" s="97">
        <v>334</v>
      </c>
      <c r="B335" s="101" t="s">
        <v>184</v>
      </c>
      <c r="C335" s="101">
        <v>46148</v>
      </c>
      <c r="D335" s="117">
        <v>46184</v>
      </c>
      <c r="E335" s="106">
        <v>64476</v>
      </c>
      <c r="F335" s="98" t="s">
        <v>512</v>
      </c>
      <c r="G335" s="99" t="s">
        <v>101</v>
      </c>
      <c r="H335" s="100" t="s">
        <v>504</v>
      </c>
      <c r="I335" s="104" t="s">
        <v>316</v>
      </c>
      <c r="J335" s="102" t="s">
        <v>250</v>
      </c>
      <c r="K335" s="103">
        <v>30</v>
      </c>
      <c r="L335" s="104" t="s">
        <v>110</v>
      </c>
      <c r="M335" s="104" t="s">
        <v>139</v>
      </c>
      <c r="N335" s="104"/>
      <c r="O335" s="109"/>
      <c r="P335" s="109"/>
      <c r="Q335" s="105" t="s">
        <v>458</v>
      </c>
    </row>
    <row r="336" spans="1:17" ht="15" customHeight="1">
      <c r="A336" s="97">
        <v>335</v>
      </c>
      <c r="B336" s="101" t="s">
        <v>184</v>
      </c>
      <c r="C336" s="101">
        <v>46148</v>
      </c>
      <c r="D336" s="117">
        <v>46184</v>
      </c>
      <c r="E336" s="106">
        <v>163</v>
      </c>
      <c r="F336" s="98" t="s">
        <v>524</v>
      </c>
      <c r="G336" s="99" t="s">
        <v>144</v>
      </c>
      <c r="H336" s="100" t="s">
        <v>171</v>
      </c>
      <c r="I336" s="104" t="s">
        <v>187</v>
      </c>
      <c r="J336" s="102" t="s">
        <v>530</v>
      </c>
      <c r="K336" s="103">
        <v>30</v>
      </c>
      <c r="L336" s="104" t="s">
        <v>110</v>
      </c>
      <c r="M336" s="104" t="s">
        <v>139</v>
      </c>
      <c r="N336" s="104"/>
      <c r="O336" s="109"/>
      <c r="P336" s="109"/>
      <c r="Q336" s="105" t="s">
        <v>458</v>
      </c>
    </row>
    <row r="337" spans="1:17" ht="15" customHeight="1">
      <c r="A337" s="97">
        <v>336</v>
      </c>
      <c r="B337" s="101" t="s">
        <v>184</v>
      </c>
      <c r="C337" s="101">
        <v>46148</v>
      </c>
      <c r="D337" s="117">
        <v>46184</v>
      </c>
      <c r="E337" s="106">
        <v>159</v>
      </c>
      <c r="F337" s="98" t="s">
        <v>170</v>
      </c>
      <c r="G337" s="99" t="s">
        <v>144</v>
      </c>
      <c r="H337" s="100">
        <v>12</v>
      </c>
      <c r="I337" s="104" t="s">
        <v>528</v>
      </c>
      <c r="J337" s="102" t="s">
        <v>530</v>
      </c>
      <c r="K337" s="103">
        <v>30</v>
      </c>
      <c r="L337" s="104" t="s">
        <v>110</v>
      </c>
      <c r="M337" s="104" t="s">
        <v>139</v>
      </c>
      <c r="N337" s="104"/>
      <c r="O337" s="109"/>
      <c r="P337" s="109"/>
      <c r="Q337" s="105" t="s">
        <v>458</v>
      </c>
    </row>
    <row r="338" spans="1:17" ht="15" customHeight="1">
      <c r="A338" s="97">
        <v>337</v>
      </c>
      <c r="B338" s="101" t="s">
        <v>184</v>
      </c>
      <c r="C338" s="101">
        <v>46148</v>
      </c>
      <c r="D338" s="117">
        <v>46184</v>
      </c>
      <c r="E338" s="106">
        <v>156</v>
      </c>
      <c r="F338" s="98" t="s">
        <v>170</v>
      </c>
      <c r="G338" s="99" t="s">
        <v>144</v>
      </c>
      <c r="H338" s="100">
        <v>5</v>
      </c>
      <c r="I338" s="104" t="s">
        <v>529</v>
      </c>
      <c r="J338" s="102" t="s">
        <v>530</v>
      </c>
      <c r="K338" s="103">
        <v>30</v>
      </c>
      <c r="L338" s="104" t="s">
        <v>110</v>
      </c>
      <c r="M338" s="104" t="s">
        <v>139</v>
      </c>
      <c r="N338" s="104"/>
      <c r="O338" s="109"/>
      <c r="P338" s="109"/>
      <c r="Q338" s="105" t="s">
        <v>458</v>
      </c>
    </row>
    <row r="339" spans="1:17" ht="15" customHeight="1">
      <c r="A339" s="97">
        <v>338</v>
      </c>
      <c r="B339" s="101" t="s">
        <v>184</v>
      </c>
      <c r="C339" s="101">
        <v>46148</v>
      </c>
      <c r="D339" s="117">
        <v>46184</v>
      </c>
      <c r="E339" s="106">
        <v>152</v>
      </c>
      <c r="F339" s="98" t="s">
        <v>191</v>
      </c>
      <c r="G339" s="99" t="s">
        <v>144</v>
      </c>
      <c r="H339" s="100">
        <v>5</v>
      </c>
      <c r="I339" s="104" t="s">
        <v>195</v>
      </c>
      <c r="J339" s="102" t="s">
        <v>530</v>
      </c>
      <c r="K339" s="103">
        <v>30</v>
      </c>
      <c r="L339" s="104" t="s">
        <v>110</v>
      </c>
      <c r="M339" s="104" t="s">
        <v>139</v>
      </c>
      <c r="N339" s="104"/>
      <c r="O339" s="109"/>
      <c r="P339" s="109"/>
      <c r="Q339" s="105" t="s">
        <v>458</v>
      </c>
    </row>
    <row r="340" spans="1:17" ht="15" customHeight="1">
      <c r="A340" s="97">
        <v>339</v>
      </c>
      <c r="B340" s="101" t="s">
        <v>184</v>
      </c>
      <c r="C340" s="101">
        <v>46148</v>
      </c>
      <c r="D340" s="117">
        <v>46184</v>
      </c>
      <c r="E340" s="106" t="s">
        <v>515</v>
      </c>
      <c r="F340" s="98" t="s">
        <v>524</v>
      </c>
      <c r="G340" s="99" t="s">
        <v>144</v>
      </c>
      <c r="H340" s="100" t="s">
        <v>171</v>
      </c>
      <c r="I340" s="104" t="s">
        <v>187</v>
      </c>
      <c r="J340" s="102" t="s">
        <v>530</v>
      </c>
      <c r="K340" s="103">
        <v>30</v>
      </c>
      <c r="L340" s="104" t="s">
        <v>110</v>
      </c>
      <c r="M340" s="104" t="s">
        <v>139</v>
      </c>
      <c r="N340" s="104"/>
      <c r="O340" s="109"/>
      <c r="P340" s="109"/>
      <c r="Q340" s="105" t="s">
        <v>458</v>
      </c>
    </row>
    <row r="341" spans="1:17" ht="15" customHeight="1">
      <c r="A341" s="97">
        <v>340</v>
      </c>
      <c r="B341" s="101" t="s">
        <v>184</v>
      </c>
      <c r="C341" s="101">
        <v>46148</v>
      </c>
      <c r="D341" s="117">
        <v>46184</v>
      </c>
      <c r="E341" s="106" t="s">
        <v>516</v>
      </c>
      <c r="F341" s="98" t="s">
        <v>169</v>
      </c>
      <c r="G341" s="99" t="s">
        <v>144</v>
      </c>
      <c r="H341" s="100">
        <v>1</v>
      </c>
      <c r="I341" s="104" t="s">
        <v>176</v>
      </c>
      <c r="J341" s="102" t="s">
        <v>530</v>
      </c>
      <c r="K341" s="103">
        <v>30</v>
      </c>
      <c r="L341" s="104" t="s">
        <v>110</v>
      </c>
      <c r="M341" s="104" t="s">
        <v>139</v>
      </c>
      <c r="N341" s="104"/>
      <c r="O341" s="109"/>
      <c r="P341" s="109"/>
      <c r="Q341" s="105" t="s">
        <v>458</v>
      </c>
    </row>
    <row r="342" spans="1:17" ht="15" customHeight="1">
      <c r="A342" s="97">
        <v>341</v>
      </c>
      <c r="B342" s="101" t="s">
        <v>184</v>
      </c>
      <c r="C342" s="101">
        <v>46148</v>
      </c>
      <c r="D342" s="117">
        <v>46184</v>
      </c>
      <c r="E342" s="106" t="s">
        <v>517</v>
      </c>
      <c r="F342" s="98" t="s">
        <v>191</v>
      </c>
      <c r="G342" s="99" t="s">
        <v>144</v>
      </c>
      <c r="H342" s="100">
        <v>5</v>
      </c>
      <c r="I342" s="104" t="s">
        <v>195</v>
      </c>
      <c r="J342" s="102" t="s">
        <v>530</v>
      </c>
      <c r="K342" s="103">
        <v>30</v>
      </c>
      <c r="L342" s="104" t="s">
        <v>110</v>
      </c>
      <c r="M342" s="104" t="s">
        <v>139</v>
      </c>
      <c r="N342" s="104"/>
      <c r="O342" s="109"/>
      <c r="P342" s="109"/>
      <c r="Q342" s="105" t="s">
        <v>458</v>
      </c>
    </row>
    <row r="343" spans="1:17" ht="15" customHeight="1">
      <c r="A343" s="97">
        <v>342</v>
      </c>
      <c r="B343" s="101" t="s">
        <v>184</v>
      </c>
      <c r="C343" s="101">
        <v>46148</v>
      </c>
      <c r="D343" s="117">
        <v>46184</v>
      </c>
      <c r="E343" s="106" t="s">
        <v>518</v>
      </c>
      <c r="F343" s="98" t="s">
        <v>170</v>
      </c>
      <c r="G343" s="99" t="s">
        <v>144</v>
      </c>
      <c r="H343" s="100">
        <v>5</v>
      </c>
      <c r="I343" s="104" t="s">
        <v>529</v>
      </c>
      <c r="J343" s="102" t="s">
        <v>530</v>
      </c>
      <c r="K343" s="103">
        <v>30</v>
      </c>
      <c r="L343" s="104" t="s">
        <v>110</v>
      </c>
      <c r="M343" s="104" t="s">
        <v>139</v>
      </c>
      <c r="N343" s="104"/>
      <c r="O343" s="109"/>
      <c r="P343" s="109"/>
      <c r="Q343" s="105" t="s">
        <v>458</v>
      </c>
    </row>
    <row r="344" spans="1:17" ht="15" customHeight="1">
      <c r="A344" s="97">
        <v>343</v>
      </c>
      <c r="B344" s="101" t="s">
        <v>184</v>
      </c>
      <c r="C344" s="101">
        <v>46148</v>
      </c>
      <c r="D344" s="117">
        <v>46184</v>
      </c>
      <c r="E344" s="106" t="s">
        <v>519</v>
      </c>
      <c r="F344" s="98" t="s">
        <v>164</v>
      </c>
      <c r="G344" s="99" t="s">
        <v>144</v>
      </c>
      <c r="H344" s="100">
        <v>5</v>
      </c>
      <c r="I344" s="104" t="s">
        <v>529</v>
      </c>
      <c r="J344" s="102" t="s">
        <v>530</v>
      </c>
      <c r="K344" s="103">
        <v>30</v>
      </c>
      <c r="L344" s="104" t="s">
        <v>110</v>
      </c>
      <c r="M344" s="104" t="s">
        <v>139</v>
      </c>
      <c r="N344" s="104"/>
      <c r="O344" s="109"/>
      <c r="P344" s="109"/>
      <c r="Q344" s="105" t="s">
        <v>458</v>
      </c>
    </row>
    <row r="345" spans="1:17" ht="15" customHeight="1">
      <c r="A345" s="97">
        <v>344</v>
      </c>
      <c r="B345" s="101" t="s">
        <v>184</v>
      </c>
      <c r="C345" s="101">
        <v>46148</v>
      </c>
      <c r="D345" s="117">
        <v>46184</v>
      </c>
      <c r="E345" s="106" t="s">
        <v>520</v>
      </c>
      <c r="F345" s="98" t="s">
        <v>525</v>
      </c>
      <c r="G345" s="99" t="s">
        <v>144</v>
      </c>
      <c r="H345" s="100">
        <v>1</v>
      </c>
      <c r="I345" s="104" t="s">
        <v>176</v>
      </c>
      <c r="J345" s="102" t="s">
        <v>530</v>
      </c>
      <c r="K345" s="103">
        <v>30</v>
      </c>
      <c r="L345" s="104" t="s">
        <v>110</v>
      </c>
      <c r="M345" s="104" t="s">
        <v>139</v>
      </c>
      <c r="N345" s="104"/>
      <c r="O345" s="109"/>
      <c r="P345" s="109"/>
      <c r="Q345" s="105" t="s">
        <v>458</v>
      </c>
    </row>
    <row r="346" spans="1:17">
      <c r="A346" s="97">
        <v>345</v>
      </c>
      <c r="B346" s="101" t="s">
        <v>212</v>
      </c>
      <c r="C346" s="101">
        <v>46148</v>
      </c>
      <c r="D346" s="101">
        <v>46184</v>
      </c>
      <c r="E346" s="113">
        <v>3801</v>
      </c>
      <c r="F346" s="98" t="s">
        <v>374</v>
      </c>
      <c r="G346" s="99" t="s">
        <v>144</v>
      </c>
      <c r="H346" s="100" t="s">
        <v>379</v>
      </c>
      <c r="I346" s="104" t="s">
        <v>382</v>
      </c>
      <c r="J346" s="102" t="s">
        <v>146</v>
      </c>
      <c r="K346" s="103">
        <v>14</v>
      </c>
      <c r="L346" s="104" t="s">
        <v>110</v>
      </c>
      <c r="M346" s="104" t="s">
        <v>147</v>
      </c>
      <c r="N346" s="104" t="s">
        <v>211</v>
      </c>
      <c r="O346" s="110">
        <v>1230</v>
      </c>
      <c r="P346" s="110">
        <v>1290</v>
      </c>
      <c r="Q346" s="114" t="s">
        <v>458</v>
      </c>
    </row>
    <row r="347" spans="1:17">
      <c r="A347" s="97">
        <v>346</v>
      </c>
      <c r="B347" s="101" t="s">
        <v>212</v>
      </c>
      <c r="C347" s="101">
        <v>46148</v>
      </c>
      <c r="D347" s="101">
        <v>46184</v>
      </c>
      <c r="E347" s="115">
        <v>3819</v>
      </c>
      <c r="F347" s="98" t="s">
        <v>222</v>
      </c>
      <c r="G347" s="99" t="s">
        <v>144</v>
      </c>
      <c r="H347" s="100" t="s">
        <v>142</v>
      </c>
      <c r="I347" s="104" t="s">
        <v>215</v>
      </c>
      <c r="J347" s="102" t="s">
        <v>146</v>
      </c>
      <c r="K347" s="103">
        <f>7*0</f>
        <v>0</v>
      </c>
      <c r="L347" s="104" t="s">
        <v>110</v>
      </c>
      <c r="M347" s="104" t="s">
        <v>147</v>
      </c>
      <c r="N347" s="104" t="s">
        <v>481</v>
      </c>
      <c r="O347" s="110"/>
      <c r="P347" s="110"/>
      <c r="Q347" s="114" t="s">
        <v>492</v>
      </c>
    </row>
    <row r="348" spans="1:17">
      <c r="A348" s="97">
        <v>347</v>
      </c>
      <c r="B348" s="101" t="s">
        <v>212</v>
      </c>
      <c r="C348" s="101">
        <v>46148</v>
      </c>
      <c r="D348" s="101">
        <v>46184</v>
      </c>
      <c r="E348" s="115">
        <v>3823</v>
      </c>
      <c r="F348" s="98" t="s">
        <v>244</v>
      </c>
      <c r="G348" s="99" t="s">
        <v>144</v>
      </c>
      <c r="H348" s="100" t="s">
        <v>248</v>
      </c>
      <c r="I348" s="104" t="s">
        <v>267</v>
      </c>
      <c r="J348" s="102" t="s">
        <v>146</v>
      </c>
      <c r="K348" s="103">
        <f>14*0</f>
        <v>0</v>
      </c>
      <c r="L348" s="104" t="s">
        <v>110</v>
      </c>
      <c r="M348" s="104" t="s">
        <v>147</v>
      </c>
      <c r="N348" s="104" t="s">
        <v>481</v>
      </c>
      <c r="O348" s="110"/>
      <c r="P348" s="110"/>
      <c r="Q348" s="114" t="s">
        <v>492</v>
      </c>
    </row>
    <row r="349" spans="1:17">
      <c r="A349" s="97">
        <v>348</v>
      </c>
      <c r="B349" s="101" t="s">
        <v>212</v>
      </c>
      <c r="C349" s="101">
        <v>46148</v>
      </c>
      <c r="D349" s="101">
        <v>46184</v>
      </c>
      <c r="E349" s="113">
        <v>3812</v>
      </c>
      <c r="F349" s="98" t="s">
        <v>227</v>
      </c>
      <c r="G349" s="99" t="s">
        <v>144</v>
      </c>
      <c r="H349" s="100" t="s">
        <v>129</v>
      </c>
      <c r="I349" s="104" t="s">
        <v>383</v>
      </c>
      <c r="J349" s="102" t="s">
        <v>146</v>
      </c>
      <c r="K349" s="103">
        <v>7</v>
      </c>
      <c r="L349" s="104" t="s">
        <v>110</v>
      </c>
      <c r="M349" s="104" t="s">
        <v>147</v>
      </c>
      <c r="N349" s="104" t="s">
        <v>211</v>
      </c>
      <c r="O349" s="110">
        <v>1230</v>
      </c>
      <c r="P349" s="110">
        <v>1290</v>
      </c>
      <c r="Q349" s="114" t="s">
        <v>458</v>
      </c>
    </row>
    <row r="350" spans="1:17">
      <c r="A350" s="97">
        <v>349</v>
      </c>
      <c r="B350" s="101" t="s">
        <v>212</v>
      </c>
      <c r="C350" s="101">
        <v>46148</v>
      </c>
      <c r="D350" s="101">
        <v>46184</v>
      </c>
      <c r="E350" s="113">
        <v>3827</v>
      </c>
      <c r="F350" s="98" t="s">
        <v>277</v>
      </c>
      <c r="G350" s="99" t="s">
        <v>144</v>
      </c>
      <c r="H350" s="100" t="s">
        <v>278</v>
      </c>
      <c r="I350" s="104" t="s">
        <v>384</v>
      </c>
      <c r="J350" s="102" t="s">
        <v>146</v>
      </c>
      <c r="K350" s="103">
        <v>7</v>
      </c>
      <c r="L350" s="104" t="s">
        <v>110</v>
      </c>
      <c r="M350" s="104" t="s">
        <v>147</v>
      </c>
      <c r="N350" s="104" t="s">
        <v>211</v>
      </c>
      <c r="O350" s="110">
        <v>1230</v>
      </c>
      <c r="P350" s="110">
        <v>1290</v>
      </c>
      <c r="Q350" s="114" t="s">
        <v>458</v>
      </c>
    </row>
    <row r="351" spans="1:17">
      <c r="A351" s="97">
        <v>350</v>
      </c>
      <c r="B351" s="101" t="s">
        <v>212</v>
      </c>
      <c r="C351" s="101">
        <v>46148</v>
      </c>
      <c r="D351" s="101">
        <v>46184</v>
      </c>
      <c r="E351" s="113">
        <v>3818</v>
      </c>
      <c r="F351" s="98" t="s">
        <v>222</v>
      </c>
      <c r="G351" s="99" t="s">
        <v>144</v>
      </c>
      <c r="H351" s="100" t="s">
        <v>142</v>
      </c>
      <c r="I351" s="104" t="s">
        <v>215</v>
      </c>
      <c r="J351" s="102" t="s">
        <v>146</v>
      </c>
      <c r="K351" s="103">
        <v>7</v>
      </c>
      <c r="L351" s="104" t="s">
        <v>110</v>
      </c>
      <c r="M351" s="104" t="s">
        <v>147</v>
      </c>
      <c r="N351" s="104" t="s">
        <v>211</v>
      </c>
      <c r="O351" s="110">
        <v>370</v>
      </c>
      <c r="P351" s="110">
        <v>440</v>
      </c>
      <c r="Q351" s="114" t="s">
        <v>458</v>
      </c>
    </row>
    <row r="352" spans="1:17">
      <c r="A352" s="97">
        <v>351</v>
      </c>
      <c r="B352" s="101" t="s">
        <v>212</v>
      </c>
      <c r="C352" s="101">
        <v>46148</v>
      </c>
      <c r="D352" s="101">
        <v>46184</v>
      </c>
      <c r="E352" s="113">
        <v>3822</v>
      </c>
      <c r="F352" s="98" t="s">
        <v>375</v>
      </c>
      <c r="G352" s="99" t="s">
        <v>144</v>
      </c>
      <c r="H352" s="100" t="s">
        <v>248</v>
      </c>
      <c r="I352" s="104" t="s">
        <v>267</v>
      </c>
      <c r="J352" s="102" t="s">
        <v>146</v>
      </c>
      <c r="K352" s="103">
        <v>14</v>
      </c>
      <c r="L352" s="104" t="s">
        <v>110</v>
      </c>
      <c r="M352" s="104" t="s">
        <v>147</v>
      </c>
      <c r="N352" s="104" t="s">
        <v>211</v>
      </c>
      <c r="O352" s="110">
        <v>1230</v>
      </c>
      <c r="P352" s="110">
        <v>1290</v>
      </c>
      <c r="Q352" s="114" t="s">
        <v>458</v>
      </c>
    </row>
    <row r="353" spans="1:17">
      <c r="A353" s="97">
        <v>352</v>
      </c>
      <c r="B353" s="101" t="s">
        <v>212</v>
      </c>
      <c r="C353" s="101">
        <v>46148</v>
      </c>
      <c r="D353" s="101">
        <v>46184</v>
      </c>
      <c r="E353" s="113">
        <v>3816</v>
      </c>
      <c r="F353" s="98" t="s">
        <v>367</v>
      </c>
      <c r="G353" s="99" t="s">
        <v>144</v>
      </c>
      <c r="H353" s="100" t="s">
        <v>217</v>
      </c>
      <c r="I353" s="104" t="s">
        <v>214</v>
      </c>
      <c r="J353" s="102" t="s">
        <v>146</v>
      </c>
      <c r="K353" s="103">
        <v>14</v>
      </c>
      <c r="L353" s="104" t="s">
        <v>110</v>
      </c>
      <c r="M353" s="104" t="s">
        <v>147</v>
      </c>
      <c r="N353" s="104" t="s">
        <v>211</v>
      </c>
      <c r="O353" s="110">
        <v>1230</v>
      </c>
      <c r="P353" s="110">
        <v>1290</v>
      </c>
      <c r="Q353" s="114" t="s">
        <v>458</v>
      </c>
    </row>
    <row r="354" spans="1:17">
      <c r="A354" s="97">
        <v>353</v>
      </c>
      <c r="B354" s="101" t="s">
        <v>212</v>
      </c>
      <c r="C354" s="101">
        <v>46148</v>
      </c>
      <c r="D354" s="101">
        <v>46184</v>
      </c>
      <c r="E354" s="113">
        <v>3814</v>
      </c>
      <c r="F354" s="98" t="s">
        <v>376</v>
      </c>
      <c r="G354" s="99" t="s">
        <v>144</v>
      </c>
      <c r="H354" s="100" t="s">
        <v>303</v>
      </c>
      <c r="I354" s="104" t="s">
        <v>339</v>
      </c>
      <c r="J354" s="102" t="s">
        <v>146</v>
      </c>
      <c r="K354" s="103">
        <v>14</v>
      </c>
      <c r="L354" s="104" t="s">
        <v>110</v>
      </c>
      <c r="M354" s="104" t="s">
        <v>147</v>
      </c>
      <c r="N354" s="104" t="s">
        <v>211</v>
      </c>
      <c r="O354" s="110">
        <v>1230</v>
      </c>
      <c r="P354" s="110">
        <v>1290</v>
      </c>
      <c r="Q354" s="114" t="s">
        <v>458</v>
      </c>
    </row>
    <row r="355" spans="1:17">
      <c r="A355" s="97">
        <v>354</v>
      </c>
      <c r="B355" s="101" t="s">
        <v>212</v>
      </c>
      <c r="C355" s="101">
        <v>46148</v>
      </c>
      <c r="D355" s="101">
        <v>46184</v>
      </c>
      <c r="E355" s="113">
        <v>3796</v>
      </c>
      <c r="F355" s="98" t="s">
        <v>362</v>
      </c>
      <c r="G355" s="99" t="s">
        <v>144</v>
      </c>
      <c r="H355" s="100" t="s">
        <v>260</v>
      </c>
      <c r="I355" s="104" t="s">
        <v>265</v>
      </c>
      <c r="J355" s="102" t="s">
        <v>146</v>
      </c>
      <c r="K355" s="103">
        <v>14</v>
      </c>
      <c r="L355" s="104" t="s">
        <v>110</v>
      </c>
      <c r="M355" s="104" t="s">
        <v>147</v>
      </c>
      <c r="N355" s="104" t="s">
        <v>211</v>
      </c>
      <c r="O355" s="110">
        <v>1230</v>
      </c>
      <c r="P355" s="110">
        <v>1290</v>
      </c>
      <c r="Q355" s="114" t="s">
        <v>458</v>
      </c>
    </row>
    <row r="356" spans="1:17">
      <c r="A356" s="97">
        <v>355</v>
      </c>
      <c r="B356" s="101" t="s">
        <v>212</v>
      </c>
      <c r="C356" s="101">
        <v>46148</v>
      </c>
      <c r="D356" s="101">
        <v>46184</v>
      </c>
      <c r="E356" s="113">
        <v>3811</v>
      </c>
      <c r="F356" s="98" t="s">
        <v>227</v>
      </c>
      <c r="G356" s="99" t="s">
        <v>144</v>
      </c>
      <c r="H356" s="100" t="s">
        <v>129</v>
      </c>
      <c r="I356" s="104" t="s">
        <v>383</v>
      </c>
      <c r="J356" s="102" t="s">
        <v>146</v>
      </c>
      <c r="K356" s="103">
        <v>7</v>
      </c>
      <c r="L356" s="104" t="s">
        <v>110</v>
      </c>
      <c r="M356" s="104" t="s">
        <v>147</v>
      </c>
      <c r="N356" s="104" t="s">
        <v>211</v>
      </c>
      <c r="O356" s="110">
        <v>370</v>
      </c>
      <c r="P356" s="110">
        <v>440</v>
      </c>
      <c r="Q356" s="114" t="s">
        <v>458</v>
      </c>
    </row>
    <row r="357" spans="1:17">
      <c r="A357" s="97">
        <v>356</v>
      </c>
      <c r="B357" s="101" t="s">
        <v>212</v>
      </c>
      <c r="C357" s="101">
        <v>46148</v>
      </c>
      <c r="D357" s="101">
        <v>46184</v>
      </c>
      <c r="E357" s="113">
        <v>3829</v>
      </c>
      <c r="F357" s="98" t="s">
        <v>374</v>
      </c>
      <c r="G357" s="99" t="s">
        <v>144</v>
      </c>
      <c r="H357" s="100" t="s">
        <v>379</v>
      </c>
      <c r="I357" s="104" t="s">
        <v>382</v>
      </c>
      <c r="J357" s="102" t="s">
        <v>146</v>
      </c>
      <c r="K357" s="103">
        <v>14</v>
      </c>
      <c r="L357" s="104" t="s">
        <v>110</v>
      </c>
      <c r="M357" s="104" t="s">
        <v>147</v>
      </c>
      <c r="N357" s="104" t="s">
        <v>211</v>
      </c>
      <c r="O357" s="110">
        <v>1230</v>
      </c>
      <c r="P357" s="110">
        <v>1290</v>
      </c>
      <c r="Q357" s="114" t="s">
        <v>458</v>
      </c>
    </row>
    <row r="358" spans="1:17">
      <c r="A358" s="97">
        <v>357</v>
      </c>
      <c r="B358" s="101" t="s">
        <v>212</v>
      </c>
      <c r="C358" s="101">
        <v>46148</v>
      </c>
      <c r="D358" s="101">
        <v>46184</v>
      </c>
      <c r="E358" s="113">
        <v>3828</v>
      </c>
      <c r="F358" s="98" t="s">
        <v>377</v>
      </c>
      <c r="G358" s="99" t="s">
        <v>144</v>
      </c>
      <c r="H358" s="100" t="s">
        <v>304</v>
      </c>
      <c r="I358" s="104" t="s">
        <v>385</v>
      </c>
      <c r="J358" s="102" t="s">
        <v>146</v>
      </c>
      <c r="K358" s="103">
        <v>14</v>
      </c>
      <c r="L358" s="104" t="s">
        <v>110</v>
      </c>
      <c r="M358" s="104" t="s">
        <v>147</v>
      </c>
      <c r="N358" s="104" t="s">
        <v>211</v>
      </c>
      <c r="O358" s="110">
        <v>1230</v>
      </c>
      <c r="P358" s="110">
        <v>1290</v>
      </c>
      <c r="Q358" s="114" t="s">
        <v>458</v>
      </c>
    </row>
    <row r="359" spans="1:17">
      <c r="A359" s="97">
        <v>358</v>
      </c>
      <c r="B359" s="101" t="s">
        <v>212</v>
      </c>
      <c r="C359" s="101">
        <v>46148</v>
      </c>
      <c r="D359" s="101">
        <v>46184</v>
      </c>
      <c r="E359" s="113">
        <v>3792</v>
      </c>
      <c r="F359" s="98" t="s">
        <v>221</v>
      </c>
      <c r="G359" s="99" t="s">
        <v>144</v>
      </c>
      <c r="H359" s="100" t="s">
        <v>196</v>
      </c>
      <c r="I359" s="104" t="s">
        <v>203</v>
      </c>
      <c r="J359" s="102" t="s">
        <v>146</v>
      </c>
      <c r="K359" s="103">
        <v>7</v>
      </c>
      <c r="L359" s="104" t="s">
        <v>110</v>
      </c>
      <c r="M359" s="104" t="s">
        <v>147</v>
      </c>
      <c r="N359" s="104" t="s">
        <v>211</v>
      </c>
      <c r="O359" s="110">
        <v>370</v>
      </c>
      <c r="P359" s="110">
        <v>440</v>
      </c>
      <c r="Q359" s="114" t="s">
        <v>458</v>
      </c>
    </row>
    <row r="360" spans="1:17">
      <c r="A360" s="97">
        <v>359</v>
      </c>
      <c r="B360" s="101" t="s">
        <v>212</v>
      </c>
      <c r="C360" s="101">
        <v>46148</v>
      </c>
      <c r="D360" s="101">
        <v>46184</v>
      </c>
      <c r="E360" s="113">
        <v>3826</v>
      </c>
      <c r="F360" s="98" t="s">
        <v>277</v>
      </c>
      <c r="G360" s="99" t="s">
        <v>144</v>
      </c>
      <c r="H360" s="100" t="s">
        <v>278</v>
      </c>
      <c r="I360" s="104" t="s">
        <v>384</v>
      </c>
      <c r="J360" s="102" t="s">
        <v>146</v>
      </c>
      <c r="K360" s="103">
        <v>7</v>
      </c>
      <c r="L360" s="104" t="s">
        <v>110</v>
      </c>
      <c r="M360" s="104" t="s">
        <v>147</v>
      </c>
      <c r="N360" s="104" t="s">
        <v>211</v>
      </c>
      <c r="O360" s="110">
        <v>370</v>
      </c>
      <c r="P360" s="110">
        <v>440</v>
      </c>
      <c r="Q360" s="114" t="s">
        <v>458</v>
      </c>
    </row>
    <row r="361" spans="1:17">
      <c r="A361" s="97">
        <v>360</v>
      </c>
      <c r="B361" s="101" t="s">
        <v>212</v>
      </c>
      <c r="C361" s="101">
        <v>46148</v>
      </c>
      <c r="D361" s="101">
        <v>46184</v>
      </c>
      <c r="E361" s="113">
        <v>3810</v>
      </c>
      <c r="F361" s="98" t="s">
        <v>227</v>
      </c>
      <c r="G361" s="99" t="s">
        <v>144</v>
      </c>
      <c r="H361" s="100" t="s">
        <v>129</v>
      </c>
      <c r="I361" s="104" t="s">
        <v>383</v>
      </c>
      <c r="J361" s="102" t="s">
        <v>146</v>
      </c>
      <c r="K361" s="103">
        <v>7</v>
      </c>
      <c r="L361" s="104" t="s">
        <v>110</v>
      </c>
      <c r="M361" s="104" t="s">
        <v>147</v>
      </c>
      <c r="N361" s="104" t="s">
        <v>211</v>
      </c>
      <c r="O361" s="110">
        <v>370</v>
      </c>
      <c r="P361" s="110">
        <v>440</v>
      </c>
      <c r="Q361" s="114" t="s">
        <v>458</v>
      </c>
    </row>
    <row r="362" spans="1:17">
      <c r="A362" s="97">
        <v>361</v>
      </c>
      <c r="B362" s="101" t="s">
        <v>212</v>
      </c>
      <c r="C362" s="101">
        <v>46148</v>
      </c>
      <c r="D362" s="101">
        <v>46184</v>
      </c>
      <c r="E362" s="113">
        <v>3824</v>
      </c>
      <c r="F362" s="98" t="s">
        <v>254</v>
      </c>
      <c r="G362" s="99" t="s">
        <v>144</v>
      </c>
      <c r="H362" s="100" t="s">
        <v>259</v>
      </c>
      <c r="I362" s="104" t="s">
        <v>264</v>
      </c>
      <c r="J362" s="102" t="s">
        <v>146</v>
      </c>
      <c r="K362" s="103">
        <v>7</v>
      </c>
      <c r="L362" s="104" t="s">
        <v>110</v>
      </c>
      <c r="M362" s="104" t="s">
        <v>147</v>
      </c>
      <c r="N362" s="104" t="s">
        <v>211</v>
      </c>
      <c r="O362" s="110">
        <v>370</v>
      </c>
      <c r="P362" s="110">
        <v>440</v>
      </c>
      <c r="Q362" s="114" t="s">
        <v>458</v>
      </c>
    </row>
    <row r="363" spans="1:17">
      <c r="A363" s="97">
        <v>362</v>
      </c>
      <c r="B363" s="101" t="s">
        <v>212</v>
      </c>
      <c r="C363" s="101">
        <v>46148</v>
      </c>
      <c r="D363" s="101">
        <v>46184</v>
      </c>
      <c r="E363" s="113">
        <v>3817</v>
      </c>
      <c r="F363" s="98" t="s">
        <v>222</v>
      </c>
      <c r="G363" s="99" t="s">
        <v>144</v>
      </c>
      <c r="H363" s="100" t="s">
        <v>142</v>
      </c>
      <c r="I363" s="104" t="s">
        <v>215</v>
      </c>
      <c r="J363" s="102" t="s">
        <v>146</v>
      </c>
      <c r="K363" s="103">
        <v>7</v>
      </c>
      <c r="L363" s="104" t="s">
        <v>110</v>
      </c>
      <c r="M363" s="104" t="s">
        <v>147</v>
      </c>
      <c r="N363" s="104" t="s">
        <v>211</v>
      </c>
      <c r="O363" s="110">
        <v>370</v>
      </c>
      <c r="P363" s="110">
        <v>440</v>
      </c>
      <c r="Q363" s="114" t="s">
        <v>458</v>
      </c>
    </row>
    <row r="364" spans="1:17">
      <c r="A364" s="97">
        <v>363</v>
      </c>
      <c r="B364" s="101" t="s">
        <v>212</v>
      </c>
      <c r="C364" s="101">
        <v>46148</v>
      </c>
      <c r="D364" s="101">
        <v>46184</v>
      </c>
      <c r="E364" s="113">
        <v>3821</v>
      </c>
      <c r="F364" s="98" t="s">
        <v>244</v>
      </c>
      <c r="G364" s="99" t="s">
        <v>144</v>
      </c>
      <c r="H364" s="100" t="s">
        <v>248</v>
      </c>
      <c r="I364" s="104" t="s">
        <v>267</v>
      </c>
      <c r="J364" s="102" t="s">
        <v>146</v>
      </c>
      <c r="K364" s="103">
        <v>14</v>
      </c>
      <c r="L364" s="104" t="s">
        <v>110</v>
      </c>
      <c r="M364" s="104" t="s">
        <v>147</v>
      </c>
      <c r="N364" s="104" t="s">
        <v>211</v>
      </c>
      <c r="O364" s="110">
        <v>370</v>
      </c>
      <c r="P364" s="110">
        <v>440</v>
      </c>
      <c r="Q364" s="114" t="s">
        <v>458</v>
      </c>
    </row>
    <row r="365" spans="1:17">
      <c r="A365" s="97">
        <v>364</v>
      </c>
      <c r="B365" s="101" t="s">
        <v>212</v>
      </c>
      <c r="C365" s="101">
        <v>46148</v>
      </c>
      <c r="D365" s="101">
        <v>46184</v>
      </c>
      <c r="E365" s="113">
        <v>3815</v>
      </c>
      <c r="F365" s="98" t="s">
        <v>367</v>
      </c>
      <c r="G365" s="99" t="s">
        <v>144</v>
      </c>
      <c r="H365" s="100" t="s">
        <v>217</v>
      </c>
      <c r="I365" s="104" t="s">
        <v>214</v>
      </c>
      <c r="J365" s="102" t="s">
        <v>146</v>
      </c>
      <c r="K365" s="103">
        <v>14</v>
      </c>
      <c r="L365" s="104" t="s">
        <v>110</v>
      </c>
      <c r="M365" s="104" t="s">
        <v>147</v>
      </c>
      <c r="N365" s="104" t="s">
        <v>211</v>
      </c>
      <c r="O365" s="110">
        <v>370</v>
      </c>
      <c r="P365" s="110">
        <v>440</v>
      </c>
      <c r="Q365" s="114" t="s">
        <v>458</v>
      </c>
    </row>
    <row r="366" spans="1:17">
      <c r="A366" s="97">
        <v>365</v>
      </c>
      <c r="B366" s="101" t="s">
        <v>212</v>
      </c>
      <c r="C366" s="101">
        <v>46148</v>
      </c>
      <c r="D366" s="101">
        <v>46184</v>
      </c>
      <c r="E366" s="113">
        <v>3813</v>
      </c>
      <c r="F366" s="98" t="s">
        <v>376</v>
      </c>
      <c r="G366" s="99" t="s">
        <v>144</v>
      </c>
      <c r="H366" s="100" t="s">
        <v>303</v>
      </c>
      <c r="I366" s="104" t="s">
        <v>339</v>
      </c>
      <c r="J366" s="102" t="s">
        <v>146</v>
      </c>
      <c r="K366" s="103">
        <v>14</v>
      </c>
      <c r="L366" s="104" t="s">
        <v>110</v>
      </c>
      <c r="M366" s="104" t="s">
        <v>147</v>
      </c>
      <c r="N366" s="104" t="s">
        <v>211</v>
      </c>
      <c r="O366" s="110">
        <v>370</v>
      </c>
      <c r="P366" s="110">
        <v>440</v>
      </c>
      <c r="Q366" s="114" t="s">
        <v>458</v>
      </c>
    </row>
    <row r="367" spans="1:17">
      <c r="A367" s="97">
        <v>366</v>
      </c>
      <c r="B367" s="101" t="s">
        <v>212</v>
      </c>
      <c r="C367" s="101">
        <v>46148</v>
      </c>
      <c r="D367" s="101">
        <v>46184</v>
      </c>
      <c r="E367" s="113">
        <v>3809</v>
      </c>
      <c r="F367" s="98" t="s">
        <v>227</v>
      </c>
      <c r="G367" s="99" t="s">
        <v>144</v>
      </c>
      <c r="H367" s="100" t="s">
        <v>129</v>
      </c>
      <c r="I367" s="104" t="s">
        <v>383</v>
      </c>
      <c r="J367" s="102" t="s">
        <v>146</v>
      </c>
      <c r="K367" s="103">
        <v>7</v>
      </c>
      <c r="L367" s="104" t="s">
        <v>110</v>
      </c>
      <c r="M367" s="104" t="s">
        <v>147</v>
      </c>
      <c r="N367" s="104" t="s">
        <v>211</v>
      </c>
      <c r="O367" s="110">
        <v>370</v>
      </c>
      <c r="P367" s="110">
        <v>440</v>
      </c>
      <c r="Q367" s="114" t="s">
        <v>458</v>
      </c>
    </row>
    <row r="368" spans="1:17">
      <c r="A368" s="97">
        <v>367</v>
      </c>
      <c r="B368" s="101" t="s">
        <v>212</v>
      </c>
      <c r="C368" s="101">
        <v>46148</v>
      </c>
      <c r="D368" s="101">
        <v>46184</v>
      </c>
      <c r="E368" s="113">
        <v>3825</v>
      </c>
      <c r="F368" s="98" t="s">
        <v>245</v>
      </c>
      <c r="G368" s="99" t="s">
        <v>144</v>
      </c>
      <c r="H368" s="100" t="s">
        <v>380</v>
      </c>
      <c r="I368" s="104" t="s">
        <v>274</v>
      </c>
      <c r="J368" s="102" t="s">
        <v>146</v>
      </c>
      <c r="K368" s="103">
        <v>7</v>
      </c>
      <c r="L368" s="104" t="s">
        <v>110</v>
      </c>
      <c r="M368" s="104" t="s">
        <v>147</v>
      </c>
      <c r="N368" s="104" t="s">
        <v>211</v>
      </c>
      <c r="O368" s="110">
        <v>370</v>
      </c>
      <c r="P368" s="110">
        <v>440</v>
      </c>
      <c r="Q368" s="114" t="s">
        <v>458</v>
      </c>
    </row>
    <row r="369" spans="1:17">
      <c r="A369" s="97">
        <v>368</v>
      </c>
      <c r="B369" s="101" t="s">
        <v>212</v>
      </c>
      <c r="C369" s="101">
        <v>46148</v>
      </c>
      <c r="D369" s="101">
        <v>46184</v>
      </c>
      <c r="E369" s="113">
        <v>3820</v>
      </c>
      <c r="F369" s="98" t="s">
        <v>254</v>
      </c>
      <c r="G369" s="99" t="s">
        <v>144</v>
      </c>
      <c r="H369" s="100" t="s">
        <v>259</v>
      </c>
      <c r="I369" s="104" t="s">
        <v>264</v>
      </c>
      <c r="J369" s="102" t="s">
        <v>146</v>
      </c>
      <c r="K369" s="103">
        <v>7</v>
      </c>
      <c r="L369" s="104" t="s">
        <v>110</v>
      </c>
      <c r="M369" s="104" t="s">
        <v>147</v>
      </c>
      <c r="N369" s="104" t="s">
        <v>211</v>
      </c>
      <c r="O369" s="110">
        <v>370</v>
      </c>
      <c r="P369" s="110">
        <v>440</v>
      </c>
      <c r="Q369" s="114" t="s">
        <v>458</v>
      </c>
    </row>
    <row r="370" spans="1:17">
      <c r="A370" s="97">
        <v>369</v>
      </c>
      <c r="B370" s="101" t="s">
        <v>212</v>
      </c>
      <c r="C370" s="101">
        <v>46148</v>
      </c>
      <c r="D370" s="101">
        <v>46184</v>
      </c>
      <c r="E370" s="113">
        <v>3795</v>
      </c>
      <c r="F370" s="98" t="s">
        <v>362</v>
      </c>
      <c r="G370" s="99" t="s">
        <v>144</v>
      </c>
      <c r="H370" s="100" t="s">
        <v>260</v>
      </c>
      <c r="I370" s="104" t="s">
        <v>265</v>
      </c>
      <c r="J370" s="102" t="s">
        <v>146</v>
      </c>
      <c r="K370" s="103">
        <v>14</v>
      </c>
      <c r="L370" s="104" t="s">
        <v>110</v>
      </c>
      <c r="M370" s="104" t="s">
        <v>147</v>
      </c>
      <c r="N370" s="104" t="s">
        <v>211</v>
      </c>
      <c r="O370" s="110">
        <v>370</v>
      </c>
      <c r="P370" s="110">
        <v>440</v>
      </c>
      <c r="Q370" s="114" t="s">
        <v>458</v>
      </c>
    </row>
    <row r="371" spans="1:17">
      <c r="A371" s="97">
        <v>370</v>
      </c>
      <c r="B371" s="101" t="s">
        <v>212</v>
      </c>
      <c r="C371" s="101">
        <v>46148</v>
      </c>
      <c r="D371" s="101">
        <v>46184</v>
      </c>
      <c r="E371" s="113">
        <v>3791</v>
      </c>
      <c r="F371" s="98" t="s">
        <v>221</v>
      </c>
      <c r="G371" s="99" t="s">
        <v>144</v>
      </c>
      <c r="H371" s="100" t="s">
        <v>196</v>
      </c>
      <c r="I371" s="104" t="s">
        <v>203</v>
      </c>
      <c r="J371" s="102" t="s">
        <v>146</v>
      </c>
      <c r="K371" s="103">
        <v>7</v>
      </c>
      <c r="L371" s="104" t="s">
        <v>110</v>
      </c>
      <c r="M371" s="104" t="s">
        <v>147</v>
      </c>
      <c r="N371" s="104" t="s">
        <v>211</v>
      </c>
      <c r="O371" s="110">
        <v>370</v>
      </c>
      <c r="P371" s="110">
        <v>440</v>
      </c>
      <c r="Q371" s="114" t="s">
        <v>458</v>
      </c>
    </row>
    <row r="372" spans="1:17">
      <c r="A372" s="97">
        <v>371</v>
      </c>
      <c r="B372" s="101" t="s">
        <v>212</v>
      </c>
      <c r="C372" s="101">
        <v>46148</v>
      </c>
      <c r="D372" s="101">
        <v>46184</v>
      </c>
      <c r="E372" s="113">
        <v>3808</v>
      </c>
      <c r="F372" s="98" t="s">
        <v>298</v>
      </c>
      <c r="G372" s="99" t="s">
        <v>144</v>
      </c>
      <c r="H372" s="100" t="s">
        <v>199</v>
      </c>
      <c r="I372" s="104" t="s">
        <v>371</v>
      </c>
      <c r="J372" s="102" t="s">
        <v>146</v>
      </c>
      <c r="K372" s="103">
        <v>7</v>
      </c>
      <c r="L372" s="104" t="s">
        <v>110</v>
      </c>
      <c r="M372" s="104" t="s">
        <v>147</v>
      </c>
      <c r="N372" s="104" t="s">
        <v>211</v>
      </c>
      <c r="O372" s="110">
        <v>370</v>
      </c>
      <c r="P372" s="110">
        <v>440</v>
      </c>
      <c r="Q372" s="114" t="s">
        <v>458</v>
      </c>
    </row>
    <row r="373" spans="1:17">
      <c r="A373" s="97">
        <v>372</v>
      </c>
      <c r="B373" s="101" t="s">
        <v>212</v>
      </c>
      <c r="C373" s="101">
        <v>46148</v>
      </c>
      <c r="D373" s="101">
        <v>46184</v>
      </c>
      <c r="E373" s="113">
        <v>3804</v>
      </c>
      <c r="F373" s="98" t="s">
        <v>378</v>
      </c>
      <c r="G373" s="99" t="s">
        <v>144</v>
      </c>
      <c r="H373" s="100" t="s">
        <v>381</v>
      </c>
      <c r="I373" s="104" t="s">
        <v>386</v>
      </c>
      <c r="J373" s="102" t="s">
        <v>146</v>
      </c>
      <c r="K373" s="103">
        <v>14</v>
      </c>
      <c r="L373" s="104" t="s">
        <v>110</v>
      </c>
      <c r="M373" s="104" t="s">
        <v>147</v>
      </c>
      <c r="N373" s="104" t="s">
        <v>211</v>
      </c>
      <c r="O373" s="110">
        <v>370</v>
      </c>
      <c r="P373" s="110">
        <v>440</v>
      </c>
      <c r="Q373" s="114" t="s">
        <v>458</v>
      </c>
    </row>
    <row r="374" spans="1:17">
      <c r="A374" s="97">
        <v>373</v>
      </c>
      <c r="B374" s="101" t="s">
        <v>212</v>
      </c>
      <c r="C374" s="101">
        <v>46148</v>
      </c>
      <c r="D374" s="101">
        <v>46184</v>
      </c>
      <c r="E374" s="113">
        <v>3800</v>
      </c>
      <c r="F374" s="98" t="s">
        <v>277</v>
      </c>
      <c r="G374" s="99" t="s">
        <v>144</v>
      </c>
      <c r="H374" s="100" t="s">
        <v>278</v>
      </c>
      <c r="I374" s="104" t="s">
        <v>384</v>
      </c>
      <c r="J374" s="102" t="s">
        <v>146</v>
      </c>
      <c r="K374" s="103">
        <v>7</v>
      </c>
      <c r="L374" s="104" t="s">
        <v>110</v>
      </c>
      <c r="M374" s="104" t="s">
        <v>147</v>
      </c>
      <c r="N374" s="104" t="s">
        <v>211</v>
      </c>
      <c r="O374" s="110">
        <v>370</v>
      </c>
      <c r="P374" s="110">
        <v>440</v>
      </c>
      <c r="Q374" s="114" t="s">
        <v>458</v>
      </c>
    </row>
    <row r="375" spans="1:17">
      <c r="A375" s="97">
        <v>374</v>
      </c>
      <c r="B375" s="101" t="s">
        <v>212</v>
      </c>
      <c r="C375" s="101">
        <v>46148</v>
      </c>
      <c r="D375" s="101">
        <v>46184</v>
      </c>
      <c r="E375" s="113">
        <v>3798</v>
      </c>
      <c r="F375" s="98" t="s">
        <v>367</v>
      </c>
      <c r="G375" s="99" t="s">
        <v>144</v>
      </c>
      <c r="H375" s="100" t="s">
        <v>217</v>
      </c>
      <c r="I375" s="104" t="s">
        <v>214</v>
      </c>
      <c r="J375" s="102" t="s">
        <v>146</v>
      </c>
      <c r="K375" s="103">
        <v>14</v>
      </c>
      <c r="L375" s="104" t="s">
        <v>110</v>
      </c>
      <c r="M375" s="104" t="s">
        <v>147</v>
      </c>
      <c r="N375" s="104" t="s">
        <v>211</v>
      </c>
      <c r="O375" s="110">
        <v>370</v>
      </c>
      <c r="P375" s="110">
        <v>440</v>
      </c>
      <c r="Q375" s="114" t="s">
        <v>458</v>
      </c>
    </row>
    <row r="376" spans="1:17">
      <c r="A376" s="97">
        <v>375</v>
      </c>
      <c r="B376" s="101" t="s">
        <v>212</v>
      </c>
      <c r="C376" s="101">
        <v>46148</v>
      </c>
      <c r="D376" s="101">
        <v>46184</v>
      </c>
      <c r="E376" s="113">
        <v>3794</v>
      </c>
      <c r="F376" s="98" t="s">
        <v>362</v>
      </c>
      <c r="G376" s="99" t="s">
        <v>144</v>
      </c>
      <c r="H376" s="100" t="s">
        <v>260</v>
      </c>
      <c r="I376" s="104" t="s">
        <v>265</v>
      </c>
      <c r="J376" s="102" t="s">
        <v>146</v>
      </c>
      <c r="K376" s="103">
        <v>14</v>
      </c>
      <c r="L376" s="104" t="s">
        <v>110</v>
      </c>
      <c r="M376" s="104" t="s">
        <v>147</v>
      </c>
      <c r="N376" s="104" t="s">
        <v>211</v>
      </c>
      <c r="O376" s="110">
        <v>370</v>
      </c>
      <c r="P376" s="110">
        <v>440</v>
      </c>
      <c r="Q376" s="114" t="s">
        <v>458</v>
      </c>
    </row>
    <row r="377" spans="1:17">
      <c r="A377" s="97">
        <v>376</v>
      </c>
      <c r="B377" s="101" t="s">
        <v>212</v>
      </c>
      <c r="C377" s="101">
        <v>46148</v>
      </c>
      <c r="D377" s="101">
        <v>46184</v>
      </c>
      <c r="E377" s="113">
        <v>3790</v>
      </c>
      <c r="F377" s="98" t="s">
        <v>221</v>
      </c>
      <c r="G377" s="99" t="s">
        <v>144</v>
      </c>
      <c r="H377" s="100" t="s">
        <v>196</v>
      </c>
      <c r="I377" s="104" t="s">
        <v>203</v>
      </c>
      <c r="J377" s="102" t="s">
        <v>146</v>
      </c>
      <c r="K377" s="103">
        <v>7</v>
      </c>
      <c r="L377" s="104" t="s">
        <v>110</v>
      </c>
      <c r="M377" s="104" t="s">
        <v>147</v>
      </c>
      <c r="N377" s="104" t="s">
        <v>211</v>
      </c>
      <c r="O377" s="110">
        <v>370</v>
      </c>
      <c r="P377" s="110">
        <v>440</v>
      </c>
      <c r="Q377" s="114" t="s">
        <v>458</v>
      </c>
    </row>
    <row r="378" spans="1:17">
      <c r="A378" s="97">
        <v>377</v>
      </c>
      <c r="B378" s="101" t="s">
        <v>212</v>
      </c>
      <c r="C378" s="101">
        <v>46148</v>
      </c>
      <c r="D378" s="101">
        <v>46184</v>
      </c>
      <c r="E378" s="113">
        <v>3807</v>
      </c>
      <c r="F378" s="98" t="s">
        <v>298</v>
      </c>
      <c r="G378" s="99" t="s">
        <v>144</v>
      </c>
      <c r="H378" s="100" t="s">
        <v>199</v>
      </c>
      <c r="I378" s="104" t="s">
        <v>371</v>
      </c>
      <c r="J378" s="102" t="s">
        <v>146</v>
      </c>
      <c r="K378" s="103">
        <v>7</v>
      </c>
      <c r="L378" s="104" t="s">
        <v>110</v>
      </c>
      <c r="M378" s="104" t="s">
        <v>147</v>
      </c>
      <c r="N378" s="104" t="s">
        <v>211</v>
      </c>
      <c r="O378" s="110">
        <v>370</v>
      </c>
      <c r="P378" s="110">
        <v>440</v>
      </c>
      <c r="Q378" s="114" t="s">
        <v>458</v>
      </c>
    </row>
    <row r="379" spans="1:17">
      <c r="A379" s="97">
        <v>378</v>
      </c>
      <c r="B379" s="101" t="s">
        <v>212</v>
      </c>
      <c r="C379" s="101">
        <v>46148</v>
      </c>
      <c r="D379" s="101">
        <v>46184</v>
      </c>
      <c r="E379" s="113">
        <v>3805</v>
      </c>
      <c r="F379" s="98" t="s">
        <v>228</v>
      </c>
      <c r="G379" s="99" t="s">
        <v>144</v>
      </c>
      <c r="H379" s="100" t="s">
        <v>202</v>
      </c>
      <c r="I379" s="104" t="s">
        <v>369</v>
      </c>
      <c r="J379" s="102" t="s">
        <v>146</v>
      </c>
      <c r="K379" s="103">
        <v>14</v>
      </c>
      <c r="L379" s="104" t="s">
        <v>110</v>
      </c>
      <c r="M379" s="104" t="s">
        <v>147</v>
      </c>
      <c r="N379" s="104" t="s">
        <v>211</v>
      </c>
      <c r="O379" s="110">
        <v>370</v>
      </c>
      <c r="P379" s="110">
        <v>440</v>
      </c>
      <c r="Q379" s="114" t="s">
        <v>458</v>
      </c>
    </row>
    <row r="380" spans="1:17">
      <c r="A380" s="97">
        <v>379</v>
      </c>
      <c r="B380" s="101" t="s">
        <v>212</v>
      </c>
      <c r="C380" s="101">
        <v>46148</v>
      </c>
      <c r="D380" s="101">
        <v>46184</v>
      </c>
      <c r="E380" s="113">
        <v>3802</v>
      </c>
      <c r="F380" s="98" t="s">
        <v>374</v>
      </c>
      <c r="G380" s="99" t="s">
        <v>144</v>
      </c>
      <c r="H380" s="100" t="s">
        <v>379</v>
      </c>
      <c r="I380" s="104" t="s">
        <v>382</v>
      </c>
      <c r="J380" s="102" t="s">
        <v>146</v>
      </c>
      <c r="K380" s="103">
        <v>14</v>
      </c>
      <c r="L380" s="104" t="s">
        <v>110</v>
      </c>
      <c r="M380" s="104" t="s">
        <v>147</v>
      </c>
      <c r="N380" s="104" t="s">
        <v>211</v>
      </c>
      <c r="O380" s="110">
        <v>370</v>
      </c>
      <c r="P380" s="110">
        <v>440</v>
      </c>
      <c r="Q380" s="114" t="s">
        <v>458</v>
      </c>
    </row>
    <row r="381" spans="1:17">
      <c r="A381" s="97">
        <v>380</v>
      </c>
      <c r="B381" s="101" t="s">
        <v>212</v>
      </c>
      <c r="C381" s="101">
        <v>46148</v>
      </c>
      <c r="D381" s="101">
        <v>46184</v>
      </c>
      <c r="E381" s="113">
        <v>3803</v>
      </c>
      <c r="F381" s="98" t="s">
        <v>378</v>
      </c>
      <c r="G381" s="99" t="s">
        <v>144</v>
      </c>
      <c r="H381" s="100" t="s">
        <v>381</v>
      </c>
      <c r="I381" s="104" t="s">
        <v>386</v>
      </c>
      <c r="J381" s="102" t="s">
        <v>146</v>
      </c>
      <c r="K381" s="103">
        <v>14</v>
      </c>
      <c r="L381" s="104" t="s">
        <v>110</v>
      </c>
      <c r="M381" s="104" t="s">
        <v>147</v>
      </c>
      <c r="N381" s="104" t="s">
        <v>211</v>
      </c>
      <c r="O381" s="110">
        <v>370</v>
      </c>
      <c r="P381" s="110">
        <v>440</v>
      </c>
      <c r="Q381" s="114" t="s">
        <v>458</v>
      </c>
    </row>
    <row r="382" spans="1:17">
      <c r="A382" s="97">
        <v>381</v>
      </c>
      <c r="B382" s="101" t="s">
        <v>212</v>
      </c>
      <c r="C382" s="101">
        <v>46148</v>
      </c>
      <c r="D382" s="101">
        <v>46184</v>
      </c>
      <c r="E382" s="113">
        <v>3799</v>
      </c>
      <c r="F382" s="98" t="s">
        <v>277</v>
      </c>
      <c r="G382" s="99" t="s">
        <v>144</v>
      </c>
      <c r="H382" s="100" t="s">
        <v>278</v>
      </c>
      <c r="I382" s="104" t="s">
        <v>384</v>
      </c>
      <c r="J382" s="102" t="s">
        <v>146</v>
      </c>
      <c r="K382" s="103">
        <v>7</v>
      </c>
      <c r="L382" s="104" t="s">
        <v>110</v>
      </c>
      <c r="M382" s="104" t="s">
        <v>147</v>
      </c>
      <c r="N382" s="104" t="s">
        <v>211</v>
      </c>
      <c r="O382" s="110">
        <v>370</v>
      </c>
      <c r="P382" s="110">
        <v>440</v>
      </c>
      <c r="Q382" s="114" t="s">
        <v>458</v>
      </c>
    </row>
    <row r="383" spans="1:17">
      <c r="A383" s="97">
        <v>382</v>
      </c>
      <c r="B383" s="101" t="s">
        <v>212</v>
      </c>
      <c r="C383" s="101">
        <v>46148</v>
      </c>
      <c r="D383" s="101">
        <v>46184</v>
      </c>
      <c r="E383" s="113">
        <v>3797</v>
      </c>
      <c r="F383" s="98" t="s">
        <v>367</v>
      </c>
      <c r="G383" s="99" t="s">
        <v>144</v>
      </c>
      <c r="H383" s="100" t="s">
        <v>217</v>
      </c>
      <c r="I383" s="104" t="s">
        <v>214</v>
      </c>
      <c r="J383" s="102" t="s">
        <v>146</v>
      </c>
      <c r="K383" s="103">
        <v>14</v>
      </c>
      <c r="L383" s="104" t="s">
        <v>110</v>
      </c>
      <c r="M383" s="104" t="s">
        <v>147</v>
      </c>
      <c r="N383" s="104" t="s">
        <v>211</v>
      </c>
      <c r="O383" s="110">
        <v>370</v>
      </c>
      <c r="P383" s="110">
        <v>440</v>
      </c>
      <c r="Q383" s="114" t="s">
        <v>458</v>
      </c>
    </row>
    <row r="384" spans="1:17">
      <c r="A384" s="97">
        <v>383</v>
      </c>
      <c r="B384" s="101" t="s">
        <v>212</v>
      </c>
      <c r="C384" s="101">
        <v>46148</v>
      </c>
      <c r="D384" s="101">
        <v>46184</v>
      </c>
      <c r="E384" s="113">
        <v>3793</v>
      </c>
      <c r="F384" s="98" t="s">
        <v>362</v>
      </c>
      <c r="G384" s="99" t="s">
        <v>144</v>
      </c>
      <c r="H384" s="100" t="s">
        <v>260</v>
      </c>
      <c r="I384" s="104" t="s">
        <v>265</v>
      </c>
      <c r="J384" s="102" t="s">
        <v>146</v>
      </c>
      <c r="K384" s="103">
        <v>14</v>
      </c>
      <c r="L384" s="104" t="s">
        <v>110</v>
      </c>
      <c r="M384" s="104" t="s">
        <v>147</v>
      </c>
      <c r="N384" s="104" t="s">
        <v>211</v>
      </c>
      <c r="O384" s="110">
        <v>370</v>
      </c>
      <c r="P384" s="110">
        <v>440</v>
      </c>
      <c r="Q384" s="114" t="s">
        <v>458</v>
      </c>
    </row>
    <row r="385" spans="1:17">
      <c r="A385" s="97">
        <v>384</v>
      </c>
      <c r="B385" s="101" t="s">
        <v>212</v>
      </c>
      <c r="C385" s="101">
        <v>46148</v>
      </c>
      <c r="D385" s="101">
        <v>46184</v>
      </c>
      <c r="E385" s="113">
        <v>3789</v>
      </c>
      <c r="F385" s="98" t="s">
        <v>221</v>
      </c>
      <c r="G385" s="99" t="s">
        <v>144</v>
      </c>
      <c r="H385" s="100" t="s">
        <v>196</v>
      </c>
      <c r="I385" s="104" t="s">
        <v>203</v>
      </c>
      <c r="J385" s="102" t="s">
        <v>146</v>
      </c>
      <c r="K385" s="103">
        <v>7</v>
      </c>
      <c r="L385" s="104" t="s">
        <v>110</v>
      </c>
      <c r="M385" s="104" t="s">
        <v>147</v>
      </c>
      <c r="N385" s="104" t="s">
        <v>211</v>
      </c>
      <c r="O385" s="110">
        <v>370</v>
      </c>
      <c r="P385" s="110">
        <v>440</v>
      </c>
      <c r="Q385" s="114" t="s">
        <v>458</v>
      </c>
    </row>
    <row r="386" spans="1:17" ht="15" customHeight="1">
      <c r="A386" s="97">
        <v>385</v>
      </c>
      <c r="B386" s="101" t="s">
        <v>184</v>
      </c>
      <c r="C386" s="101">
        <v>46148</v>
      </c>
      <c r="D386" s="117">
        <v>46185</v>
      </c>
      <c r="E386" s="106">
        <v>64570</v>
      </c>
      <c r="F386" s="98" t="s">
        <v>510</v>
      </c>
      <c r="G386" s="99" t="s">
        <v>144</v>
      </c>
      <c r="H386" s="100">
        <v>3</v>
      </c>
      <c r="I386" s="104" t="s">
        <v>527</v>
      </c>
      <c r="J386" s="102" t="s">
        <v>250</v>
      </c>
      <c r="K386" s="103">
        <v>30</v>
      </c>
      <c r="L386" s="104" t="s">
        <v>110</v>
      </c>
      <c r="M386" s="104" t="s">
        <v>139</v>
      </c>
      <c r="N386" s="104"/>
      <c r="O386" s="109"/>
      <c r="P386" s="109"/>
      <c r="Q386" s="105" t="s">
        <v>458</v>
      </c>
    </row>
    <row r="387" spans="1:17" ht="15" customHeight="1">
      <c r="A387" s="97">
        <v>386</v>
      </c>
      <c r="B387" s="101" t="s">
        <v>184</v>
      </c>
      <c r="C387" s="101">
        <v>46148</v>
      </c>
      <c r="D387" s="117">
        <v>46185</v>
      </c>
      <c r="E387" s="106">
        <v>64567</v>
      </c>
      <c r="F387" s="98" t="s">
        <v>523</v>
      </c>
      <c r="G387" s="99" t="s">
        <v>144</v>
      </c>
      <c r="H387" s="100">
        <v>2</v>
      </c>
      <c r="I387" s="104" t="s">
        <v>532</v>
      </c>
      <c r="J387" s="102" t="s">
        <v>250</v>
      </c>
      <c r="K387" s="103">
        <v>30</v>
      </c>
      <c r="L387" s="104" t="s">
        <v>110</v>
      </c>
      <c r="M387" s="104" t="s">
        <v>139</v>
      </c>
      <c r="N387" s="104"/>
      <c r="O387" s="109"/>
      <c r="P387" s="109"/>
      <c r="Q387" s="105" t="s">
        <v>458</v>
      </c>
    </row>
    <row r="388" spans="1:17" ht="15" customHeight="1">
      <c r="A388" s="97">
        <v>387</v>
      </c>
      <c r="B388" s="101" t="s">
        <v>184</v>
      </c>
      <c r="C388" s="101">
        <v>46148</v>
      </c>
      <c r="D388" s="117">
        <v>46185</v>
      </c>
      <c r="E388" s="106">
        <v>64569</v>
      </c>
      <c r="F388" s="98" t="s">
        <v>510</v>
      </c>
      <c r="G388" s="99" t="s">
        <v>144</v>
      </c>
      <c r="H388" s="100">
        <v>3</v>
      </c>
      <c r="I388" s="104" t="s">
        <v>527</v>
      </c>
      <c r="J388" s="102" t="s">
        <v>250</v>
      </c>
      <c r="K388" s="103">
        <v>30</v>
      </c>
      <c r="L388" s="104" t="s">
        <v>110</v>
      </c>
      <c r="M388" s="104" t="s">
        <v>139</v>
      </c>
      <c r="N388" s="104"/>
      <c r="O388" s="109"/>
      <c r="P388" s="109"/>
      <c r="Q388" s="105" t="s">
        <v>458</v>
      </c>
    </row>
    <row r="389" spans="1:17" ht="15" customHeight="1">
      <c r="A389" s="97">
        <v>388</v>
      </c>
      <c r="B389" s="101" t="s">
        <v>184</v>
      </c>
      <c r="C389" s="101">
        <v>46148</v>
      </c>
      <c r="D389" s="117">
        <v>46185</v>
      </c>
      <c r="E389" s="106">
        <v>64566</v>
      </c>
      <c r="F389" s="98" t="s">
        <v>523</v>
      </c>
      <c r="G389" s="99" t="s">
        <v>144</v>
      </c>
      <c r="H389" s="100">
        <v>2</v>
      </c>
      <c r="I389" s="104" t="s">
        <v>532</v>
      </c>
      <c r="J389" s="102" t="s">
        <v>250</v>
      </c>
      <c r="K389" s="103">
        <v>30</v>
      </c>
      <c r="L389" s="104" t="s">
        <v>110</v>
      </c>
      <c r="M389" s="104" t="s">
        <v>139</v>
      </c>
      <c r="N389" s="104"/>
      <c r="O389" s="109"/>
      <c r="P389" s="109"/>
      <c r="Q389" s="105" t="s">
        <v>458</v>
      </c>
    </row>
    <row r="390" spans="1:17" ht="15" customHeight="1">
      <c r="A390" s="97">
        <v>389</v>
      </c>
      <c r="B390" s="101" t="s">
        <v>184</v>
      </c>
      <c r="C390" s="101">
        <v>46148</v>
      </c>
      <c r="D390" s="117">
        <v>46185</v>
      </c>
      <c r="E390" s="106">
        <v>64568</v>
      </c>
      <c r="F390" s="98" t="s">
        <v>510</v>
      </c>
      <c r="G390" s="99" t="s">
        <v>144</v>
      </c>
      <c r="H390" s="100">
        <v>3</v>
      </c>
      <c r="I390" s="104" t="s">
        <v>527</v>
      </c>
      <c r="J390" s="102" t="s">
        <v>250</v>
      </c>
      <c r="K390" s="103">
        <v>30</v>
      </c>
      <c r="L390" s="104" t="s">
        <v>110</v>
      </c>
      <c r="M390" s="104" t="s">
        <v>139</v>
      </c>
      <c r="N390" s="104"/>
      <c r="O390" s="109"/>
      <c r="P390" s="109"/>
      <c r="Q390" s="105" t="s">
        <v>458</v>
      </c>
    </row>
    <row r="391" spans="1:17" ht="15" customHeight="1">
      <c r="A391" s="97">
        <v>390</v>
      </c>
      <c r="B391" s="101" t="s">
        <v>184</v>
      </c>
      <c r="C391" s="101">
        <v>46148</v>
      </c>
      <c r="D391" s="117">
        <v>46185</v>
      </c>
      <c r="E391" s="106">
        <v>64565</v>
      </c>
      <c r="F391" s="98" t="s">
        <v>523</v>
      </c>
      <c r="G391" s="99" t="s">
        <v>144</v>
      </c>
      <c r="H391" s="100">
        <v>2</v>
      </c>
      <c r="I391" s="104" t="s">
        <v>532</v>
      </c>
      <c r="J391" s="102" t="s">
        <v>250</v>
      </c>
      <c r="K391" s="103">
        <v>30</v>
      </c>
      <c r="L391" s="104" t="s">
        <v>110</v>
      </c>
      <c r="M391" s="104" t="s">
        <v>139</v>
      </c>
      <c r="N391" s="104"/>
      <c r="O391" s="109"/>
      <c r="P391" s="109"/>
      <c r="Q391" s="105" t="s">
        <v>458</v>
      </c>
    </row>
    <row r="392" spans="1:17" ht="15" customHeight="1">
      <c r="A392" s="97">
        <v>391</v>
      </c>
      <c r="B392" s="101" t="s">
        <v>184</v>
      </c>
      <c r="C392" s="101">
        <v>46148</v>
      </c>
      <c r="D392" s="117">
        <v>46185</v>
      </c>
      <c r="E392" s="106">
        <v>64553</v>
      </c>
      <c r="F392" s="98" t="s">
        <v>510</v>
      </c>
      <c r="G392" s="99" t="s">
        <v>144</v>
      </c>
      <c r="H392" s="100">
        <v>3</v>
      </c>
      <c r="I392" s="104" t="s">
        <v>527</v>
      </c>
      <c r="J392" s="102" t="s">
        <v>250</v>
      </c>
      <c r="K392" s="103">
        <v>30</v>
      </c>
      <c r="L392" s="104" t="s">
        <v>110</v>
      </c>
      <c r="M392" s="104" t="s">
        <v>139</v>
      </c>
      <c r="N392" s="104"/>
      <c r="O392" s="109"/>
      <c r="P392" s="109"/>
      <c r="Q392" s="105" t="s">
        <v>458</v>
      </c>
    </row>
    <row r="393" spans="1:17" ht="15" customHeight="1">
      <c r="A393" s="97">
        <v>392</v>
      </c>
      <c r="B393" s="101" t="s">
        <v>184</v>
      </c>
      <c r="C393" s="101">
        <v>46148</v>
      </c>
      <c r="D393" s="117">
        <v>46185</v>
      </c>
      <c r="E393" s="106">
        <v>64555</v>
      </c>
      <c r="F393" s="98" t="s">
        <v>523</v>
      </c>
      <c r="G393" s="99" t="s">
        <v>144</v>
      </c>
      <c r="H393" s="100">
        <v>2</v>
      </c>
      <c r="I393" s="104" t="s">
        <v>532</v>
      </c>
      <c r="J393" s="102" t="s">
        <v>250</v>
      </c>
      <c r="K393" s="103">
        <v>30</v>
      </c>
      <c r="L393" s="104" t="s">
        <v>110</v>
      </c>
      <c r="M393" s="104" t="s">
        <v>139</v>
      </c>
      <c r="N393" s="104"/>
      <c r="O393" s="109"/>
      <c r="P393" s="109"/>
      <c r="Q393" s="105" t="s">
        <v>458</v>
      </c>
    </row>
    <row r="394" spans="1:17" ht="15" customHeight="1">
      <c r="A394" s="97">
        <v>393</v>
      </c>
      <c r="B394" s="101" t="s">
        <v>184</v>
      </c>
      <c r="C394" s="101">
        <v>46148</v>
      </c>
      <c r="D394" s="117">
        <v>46185</v>
      </c>
      <c r="E394" s="106">
        <v>166</v>
      </c>
      <c r="F394" s="98" t="s">
        <v>189</v>
      </c>
      <c r="G394" s="99" t="s">
        <v>144</v>
      </c>
      <c r="H394" s="100">
        <v>33</v>
      </c>
      <c r="I394" s="104" t="s">
        <v>194</v>
      </c>
      <c r="J394" s="102" t="s">
        <v>530</v>
      </c>
      <c r="K394" s="103">
        <v>30</v>
      </c>
      <c r="L394" s="104" t="s">
        <v>110</v>
      </c>
      <c r="M394" s="104" t="s">
        <v>139</v>
      </c>
      <c r="N394" s="104"/>
      <c r="O394" s="109"/>
      <c r="P394" s="109"/>
      <c r="Q394" s="105" t="s">
        <v>458</v>
      </c>
    </row>
    <row r="395" spans="1:17" ht="15" customHeight="1">
      <c r="A395" s="97">
        <v>394</v>
      </c>
      <c r="B395" s="101" t="s">
        <v>184</v>
      </c>
      <c r="C395" s="101">
        <v>46148</v>
      </c>
      <c r="D395" s="117">
        <v>46185</v>
      </c>
      <c r="E395" s="106">
        <v>169</v>
      </c>
      <c r="F395" s="98" t="s">
        <v>190</v>
      </c>
      <c r="G395" s="99" t="s">
        <v>144</v>
      </c>
      <c r="H395" s="100">
        <v>2</v>
      </c>
      <c r="I395" s="104" t="s">
        <v>533</v>
      </c>
      <c r="J395" s="102" t="s">
        <v>530</v>
      </c>
      <c r="K395" s="103">
        <v>30</v>
      </c>
      <c r="L395" s="104" t="s">
        <v>110</v>
      </c>
      <c r="M395" s="104" t="s">
        <v>139</v>
      </c>
      <c r="N395" s="104"/>
      <c r="O395" s="109"/>
      <c r="P395" s="109"/>
      <c r="Q395" s="105" t="s">
        <v>458</v>
      </c>
    </row>
    <row r="396" spans="1:17" ht="15" customHeight="1">
      <c r="A396" s="97">
        <v>395</v>
      </c>
      <c r="B396" s="101" t="s">
        <v>184</v>
      </c>
      <c r="C396" s="101">
        <v>46148</v>
      </c>
      <c r="D396" s="117">
        <v>46185</v>
      </c>
      <c r="E396" s="106">
        <v>161</v>
      </c>
      <c r="F396" s="98" t="s">
        <v>164</v>
      </c>
      <c r="G396" s="99" t="s">
        <v>144</v>
      </c>
      <c r="H396" s="100">
        <v>12</v>
      </c>
      <c r="I396" s="104" t="s">
        <v>281</v>
      </c>
      <c r="J396" s="102" t="s">
        <v>530</v>
      </c>
      <c r="K396" s="103">
        <v>30</v>
      </c>
      <c r="L396" s="104" t="s">
        <v>110</v>
      </c>
      <c r="M396" s="104" t="s">
        <v>139</v>
      </c>
      <c r="N396" s="104"/>
      <c r="O396" s="109"/>
      <c r="P396" s="109"/>
      <c r="Q396" s="105" t="s">
        <v>458</v>
      </c>
    </row>
    <row r="397" spans="1:17" ht="15" customHeight="1">
      <c r="A397" s="97">
        <v>396</v>
      </c>
      <c r="B397" s="101" t="s">
        <v>184</v>
      </c>
      <c r="C397" s="101">
        <v>46148</v>
      </c>
      <c r="D397" s="117">
        <v>46185</v>
      </c>
      <c r="E397" s="106">
        <v>165</v>
      </c>
      <c r="F397" s="98" t="s">
        <v>189</v>
      </c>
      <c r="G397" s="99" t="s">
        <v>144</v>
      </c>
      <c r="H397" s="100">
        <v>33</v>
      </c>
      <c r="I397" s="104" t="s">
        <v>194</v>
      </c>
      <c r="J397" s="102" t="s">
        <v>530</v>
      </c>
      <c r="K397" s="103">
        <v>30</v>
      </c>
      <c r="L397" s="104" t="s">
        <v>110</v>
      </c>
      <c r="M397" s="104" t="s">
        <v>139</v>
      </c>
      <c r="N397" s="104"/>
      <c r="O397" s="109"/>
      <c r="P397" s="109"/>
      <c r="Q397" s="105" t="s">
        <v>458</v>
      </c>
    </row>
    <row r="398" spans="1:17" ht="15" customHeight="1">
      <c r="A398" s="97">
        <v>397</v>
      </c>
      <c r="B398" s="101" t="s">
        <v>184</v>
      </c>
      <c r="C398" s="101">
        <v>46148</v>
      </c>
      <c r="D398" s="117">
        <v>46185</v>
      </c>
      <c r="E398" s="106">
        <v>168</v>
      </c>
      <c r="F398" s="98" t="s">
        <v>190</v>
      </c>
      <c r="G398" s="99" t="s">
        <v>144</v>
      </c>
      <c r="H398" s="100">
        <v>2</v>
      </c>
      <c r="I398" s="104" t="s">
        <v>533</v>
      </c>
      <c r="J398" s="102" t="s">
        <v>530</v>
      </c>
      <c r="K398" s="103">
        <v>30</v>
      </c>
      <c r="L398" s="104" t="s">
        <v>110</v>
      </c>
      <c r="M398" s="104" t="s">
        <v>139</v>
      </c>
      <c r="N398" s="104"/>
      <c r="O398" s="109"/>
      <c r="P398" s="109"/>
      <c r="Q398" s="105" t="s">
        <v>458</v>
      </c>
    </row>
    <row r="399" spans="1:17" ht="15" customHeight="1">
      <c r="A399" s="97">
        <v>398</v>
      </c>
      <c r="B399" s="101" t="s">
        <v>184</v>
      </c>
      <c r="C399" s="101">
        <v>46148</v>
      </c>
      <c r="D399" s="117">
        <v>46185</v>
      </c>
      <c r="E399" s="106">
        <v>164</v>
      </c>
      <c r="F399" s="98" t="s">
        <v>169</v>
      </c>
      <c r="G399" s="99" t="s">
        <v>144</v>
      </c>
      <c r="H399" s="100" t="s">
        <v>171</v>
      </c>
      <c r="I399" s="104" t="s">
        <v>187</v>
      </c>
      <c r="J399" s="102" t="s">
        <v>530</v>
      </c>
      <c r="K399" s="103">
        <v>30</v>
      </c>
      <c r="L399" s="104" t="s">
        <v>110</v>
      </c>
      <c r="M399" s="104" t="s">
        <v>139</v>
      </c>
      <c r="N399" s="104"/>
      <c r="O399" s="109"/>
      <c r="P399" s="109"/>
      <c r="Q399" s="105" t="s">
        <v>458</v>
      </c>
    </row>
    <row r="400" spans="1:17" ht="15" customHeight="1">
      <c r="A400" s="97">
        <v>399</v>
      </c>
      <c r="B400" s="101" t="s">
        <v>184</v>
      </c>
      <c r="C400" s="101">
        <v>46148</v>
      </c>
      <c r="D400" s="117">
        <v>46185</v>
      </c>
      <c r="E400" s="106" t="s">
        <v>531</v>
      </c>
      <c r="F400" s="98" t="s">
        <v>164</v>
      </c>
      <c r="G400" s="99" t="s">
        <v>144</v>
      </c>
      <c r="H400" s="100">
        <v>12</v>
      </c>
      <c r="I400" s="104" t="s">
        <v>281</v>
      </c>
      <c r="J400" s="102" t="s">
        <v>530</v>
      </c>
      <c r="K400" s="103">
        <v>30</v>
      </c>
      <c r="L400" s="104" t="s">
        <v>110</v>
      </c>
      <c r="M400" s="104" t="s">
        <v>139</v>
      </c>
      <c r="N400" s="104"/>
      <c r="O400" s="109"/>
      <c r="P400" s="109"/>
      <c r="Q400" s="105" t="s">
        <v>458</v>
      </c>
    </row>
    <row r="401" spans="1:17" ht="15" customHeight="1">
      <c r="A401" s="97">
        <v>400</v>
      </c>
      <c r="B401" s="101" t="s">
        <v>184</v>
      </c>
      <c r="C401" s="101">
        <v>46148</v>
      </c>
      <c r="D401" s="117">
        <v>46186</v>
      </c>
      <c r="E401" s="106">
        <v>64559</v>
      </c>
      <c r="F401" s="98" t="s">
        <v>164</v>
      </c>
      <c r="G401" s="99" t="s">
        <v>101</v>
      </c>
      <c r="H401" s="100" t="s">
        <v>504</v>
      </c>
      <c r="I401" s="104" t="s">
        <v>316</v>
      </c>
      <c r="J401" s="102" t="s">
        <v>250</v>
      </c>
      <c r="K401" s="103">
        <v>30</v>
      </c>
      <c r="L401" s="104" t="s">
        <v>110</v>
      </c>
      <c r="M401" s="104" t="s">
        <v>139</v>
      </c>
      <c r="N401" s="104"/>
      <c r="O401" s="109"/>
      <c r="P401" s="109"/>
      <c r="Q401" s="105" t="s">
        <v>458</v>
      </c>
    </row>
    <row r="402" spans="1:17" ht="15" customHeight="1">
      <c r="A402" s="97">
        <v>401</v>
      </c>
      <c r="B402" s="101" t="s">
        <v>184</v>
      </c>
      <c r="C402" s="101">
        <v>46148</v>
      </c>
      <c r="D402" s="117">
        <v>46186</v>
      </c>
      <c r="E402" s="106">
        <v>64558</v>
      </c>
      <c r="F402" s="98" t="s">
        <v>164</v>
      </c>
      <c r="G402" s="99" t="s">
        <v>144</v>
      </c>
      <c r="H402" s="100">
        <v>2</v>
      </c>
      <c r="I402" s="104" t="s">
        <v>526</v>
      </c>
      <c r="J402" s="102" t="s">
        <v>250</v>
      </c>
      <c r="K402" s="103">
        <v>30</v>
      </c>
      <c r="L402" s="104" t="s">
        <v>110</v>
      </c>
      <c r="M402" s="104" t="s">
        <v>139</v>
      </c>
      <c r="N402" s="104"/>
      <c r="O402" s="109"/>
      <c r="P402" s="109"/>
      <c r="Q402" s="105" t="s">
        <v>458</v>
      </c>
    </row>
    <row r="403" spans="1:17" ht="15" customHeight="1">
      <c r="A403" s="97">
        <v>402</v>
      </c>
      <c r="B403" s="101" t="s">
        <v>184</v>
      </c>
      <c r="C403" s="101">
        <v>46148</v>
      </c>
      <c r="D403" s="117">
        <v>46186</v>
      </c>
      <c r="E403" s="106">
        <v>64557</v>
      </c>
      <c r="F403" s="98" t="s">
        <v>164</v>
      </c>
      <c r="G403" s="99" t="s">
        <v>144</v>
      </c>
      <c r="H403" s="100">
        <v>3</v>
      </c>
      <c r="I403" s="104" t="s">
        <v>527</v>
      </c>
      <c r="J403" s="102" t="s">
        <v>250</v>
      </c>
      <c r="K403" s="103">
        <v>30</v>
      </c>
      <c r="L403" s="104" t="s">
        <v>110</v>
      </c>
      <c r="M403" s="104" t="s">
        <v>139</v>
      </c>
      <c r="N403" s="104"/>
      <c r="O403" s="109"/>
      <c r="P403" s="109"/>
      <c r="Q403" s="105" t="s">
        <v>458</v>
      </c>
    </row>
    <row r="404" spans="1:17" ht="15" customHeight="1">
      <c r="A404" s="97">
        <v>403</v>
      </c>
      <c r="B404" s="101" t="s">
        <v>184</v>
      </c>
      <c r="C404" s="101">
        <v>46148</v>
      </c>
      <c r="D404" s="117">
        <v>46186</v>
      </c>
      <c r="E404" s="106">
        <v>64479</v>
      </c>
      <c r="F404" s="98" t="s">
        <v>164</v>
      </c>
      <c r="G404" s="99" t="s">
        <v>101</v>
      </c>
      <c r="H404" s="100" t="s">
        <v>504</v>
      </c>
      <c r="I404" s="104" t="s">
        <v>316</v>
      </c>
      <c r="J404" s="102" t="s">
        <v>250</v>
      </c>
      <c r="K404" s="103">
        <v>30</v>
      </c>
      <c r="L404" s="104" t="s">
        <v>110</v>
      </c>
      <c r="M404" s="104" t="s">
        <v>139</v>
      </c>
      <c r="N404" s="104"/>
      <c r="O404" s="109"/>
      <c r="P404" s="109"/>
      <c r="Q404" s="105" t="s">
        <v>458</v>
      </c>
    </row>
    <row r="405" spans="1:17" ht="15" customHeight="1">
      <c r="A405" s="97">
        <v>404</v>
      </c>
      <c r="B405" s="101" t="s">
        <v>184</v>
      </c>
      <c r="C405" s="101">
        <v>46148</v>
      </c>
      <c r="D405" s="117">
        <v>46186</v>
      </c>
      <c r="E405" s="106">
        <v>64556</v>
      </c>
      <c r="F405" s="98" t="s">
        <v>164</v>
      </c>
      <c r="G405" s="99" t="s">
        <v>144</v>
      </c>
      <c r="H405" s="100">
        <v>2</v>
      </c>
      <c r="I405" s="104" t="s">
        <v>526</v>
      </c>
      <c r="J405" s="102" t="s">
        <v>250</v>
      </c>
      <c r="K405" s="103">
        <v>30</v>
      </c>
      <c r="L405" s="104" t="s">
        <v>110</v>
      </c>
      <c r="M405" s="104" t="s">
        <v>139</v>
      </c>
      <c r="N405" s="104"/>
      <c r="O405" s="109"/>
      <c r="P405" s="109"/>
      <c r="Q405" s="105" t="s">
        <v>458</v>
      </c>
    </row>
    <row r="406" spans="1:17" ht="15" customHeight="1">
      <c r="A406" s="97">
        <v>405</v>
      </c>
      <c r="B406" s="101" t="s">
        <v>184</v>
      </c>
      <c r="C406" s="101">
        <v>46148</v>
      </c>
      <c r="D406" s="117">
        <v>46186</v>
      </c>
      <c r="E406" s="106">
        <v>64554</v>
      </c>
      <c r="F406" s="98" t="s">
        <v>164</v>
      </c>
      <c r="G406" s="99" t="s">
        <v>144</v>
      </c>
      <c r="H406" s="100">
        <v>3</v>
      </c>
      <c r="I406" s="104" t="s">
        <v>527</v>
      </c>
      <c r="J406" s="102" t="s">
        <v>250</v>
      </c>
      <c r="K406" s="103">
        <v>30</v>
      </c>
      <c r="L406" s="104" t="s">
        <v>110</v>
      </c>
      <c r="M406" s="104" t="s">
        <v>139</v>
      </c>
      <c r="N406" s="104"/>
      <c r="O406" s="109"/>
      <c r="P406" s="109"/>
      <c r="Q406" s="105" t="s">
        <v>458</v>
      </c>
    </row>
    <row r="407" spans="1:17" ht="15" customHeight="1">
      <c r="A407" s="97">
        <v>406</v>
      </c>
      <c r="B407" s="101" t="s">
        <v>184</v>
      </c>
      <c r="C407" s="101">
        <v>46148</v>
      </c>
      <c r="D407" s="117">
        <v>46186</v>
      </c>
      <c r="E407" s="106">
        <v>170</v>
      </c>
      <c r="F407" s="98" t="s">
        <v>164</v>
      </c>
      <c r="G407" s="99" t="s">
        <v>144</v>
      </c>
      <c r="H407" s="100">
        <v>2</v>
      </c>
      <c r="I407" s="104" t="s">
        <v>533</v>
      </c>
      <c r="J407" s="102" t="s">
        <v>530</v>
      </c>
      <c r="K407" s="103">
        <v>30</v>
      </c>
      <c r="L407" s="104" t="s">
        <v>110</v>
      </c>
      <c r="M407" s="104" t="s">
        <v>139</v>
      </c>
      <c r="N407" s="104"/>
      <c r="O407" s="109"/>
      <c r="P407" s="109"/>
      <c r="Q407" s="105" t="s">
        <v>458</v>
      </c>
    </row>
    <row r="408" spans="1:17" ht="15" customHeight="1">
      <c r="A408" s="97">
        <v>407</v>
      </c>
      <c r="B408" s="101" t="s">
        <v>184</v>
      </c>
      <c r="C408" s="101">
        <v>46148</v>
      </c>
      <c r="D408" s="117">
        <v>46186</v>
      </c>
      <c r="E408" s="106">
        <v>64474</v>
      </c>
      <c r="F408" s="98" t="s">
        <v>164</v>
      </c>
      <c r="G408" s="99" t="s">
        <v>101</v>
      </c>
      <c r="H408" s="100" t="s">
        <v>505</v>
      </c>
      <c r="I408" s="104" t="s">
        <v>317</v>
      </c>
      <c r="J408" s="102" t="s">
        <v>250</v>
      </c>
      <c r="K408" s="103">
        <v>30</v>
      </c>
      <c r="L408" s="104" t="s">
        <v>110</v>
      </c>
      <c r="M408" s="104" t="s">
        <v>139</v>
      </c>
      <c r="N408" s="104"/>
      <c r="O408" s="109"/>
      <c r="P408" s="109"/>
      <c r="Q408" s="105" t="s">
        <v>458</v>
      </c>
    </row>
    <row r="409" spans="1:17" ht="15" customHeight="1">
      <c r="A409" s="97">
        <v>408</v>
      </c>
      <c r="B409" s="101" t="s">
        <v>184</v>
      </c>
      <c r="C409" s="101">
        <v>46148</v>
      </c>
      <c r="D409" s="117">
        <v>46186</v>
      </c>
      <c r="E409" s="106">
        <v>64475</v>
      </c>
      <c r="F409" s="98" t="s">
        <v>164</v>
      </c>
      <c r="G409" s="99" t="s">
        <v>101</v>
      </c>
      <c r="H409" s="100" t="s">
        <v>505</v>
      </c>
      <c r="I409" s="104" t="s">
        <v>317</v>
      </c>
      <c r="J409" s="102" t="s">
        <v>250</v>
      </c>
      <c r="K409" s="103">
        <v>30</v>
      </c>
      <c r="L409" s="104" t="s">
        <v>110</v>
      </c>
      <c r="M409" s="104" t="s">
        <v>139</v>
      </c>
      <c r="N409" s="104"/>
      <c r="O409" s="109"/>
      <c r="P409" s="109"/>
      <c r="Q409" s="105" t="s">
        <v>458</v>
      </c>
    </row>
    <row r="410" spans="1:17">
      <c r="A410" s="97">
        <v>409</v>
      </c>
      <c r="B410" s="101" t="s">
        <v>212</v>
      </c>
      <c r="C410" s="101">
        <v>46148</v>
      </c>
      <c r="D410" s="101">
        <v>46187</v>
      </c>
      <c r="E410" s="113">
        <v>3937</v>
      </c>
      <c r="F410" s="98" t="s">
        <v>332</v>
      </c>
      <c r="G410" s="99" t="s">
        <v>144</v>
      </c>
      <c r="H410" s="100" t="s">
        <v>336</v>
      </c>
      <c r="I410" s="104" t="s">
        <v>338</v>
      </c>
      <c r="J410" s="102" t="s">
        <v>146</v>
      </c>
      <c r="K410" s="103">
        <v>7</v>
      </c>
      <c r="L410" s="104" t="s">
        <v>110</v>
      </c>
      <c r="M410" s="104" t="s">
        <v>147</v>
      </c>
      <c r="N410" s="104" t="s">
        <v>211</v>
      </c>
      <c r="O410" s="110">
        <v>1480</v>
      </c>
      <c r="P410" s="110">
        <v>1555.09</v>
      </c>
      <c r="Q410" s="114" t="s">
        <v>458</v>
      </c>
    </row>
    <row r="411" spans="1:17">
      <c r="A411" s="97">
        <v>410</v>
      </c>
      <c r="B411" s="101" t="s">
        <v>212</v>
      </c>
      <c r="C411" s="101">
        <v>46148</v>
      </c>
      <c r="D411" s="101">
        <v>46187</v>
      </c>
      <c r="E411" s="113">
        <v>3929</v>
      </c>
      <c r="F411" s="98" t="s">
        <v>244</v>
      </c>
      <c r="G411" s="99" t="s">
        <v>144</v>
      </c>
      <c r="H411" s="100" t="s">
        <v>248</v>
      </c>
      <c r="I411" s="104" t="s">
        <v>267</v>
      </c>
      <c r="J411" s="102" t="s">
        <v>146</v>
      </c>
      <c r="K411" s="103">
        <v>14</v>
      </c>
      <c r="L411" s="104" t="s">
        <v>110</v>
      </c>
      <c r="M411" s="104" t="s">
        <v>147</v>
      </c>
      <c r="N411" s="104" t="s">
        <v>211</v>
      </c>
      <c r="O411" s="110">
        <v>1480</v>
      </c>
      <c r="P411" s="110">
        <v>1555.09</v>
      </c>
      <c r="Q411" s="114" t="s">
        <v>458</v>
      </c>
    </row>
    <row r="412" spans="1:17">
      <c r="A412" s="97">
        <v>411</v>
      </c>
      <c r="B412" s="101" t="s">
        <v>212</v>
      </c>
      <c r="C412" s="101">
        <v>46148</v>
      </c>
      <c r="D412" s="101">
        <v>46187</v>
      </c>
      <c r="E412" s="113">
        <v>3936</v>
      </c>
      <c r="F412" s="98" t="s">
        <v>332</v>
      </c>
      <c r="G412" s="99" t="s">
        <v>144</v>
      </c>
      <c r="H412" s="100" t="s">
        <v>336</v>
      </c>
      <c r="I412" s="104" t="s">
        <v>338</v>
      </c>
      <c r="J412" s="102" t="s">
        <v>146</v>
      </c>
      <c r="K412" s="103">
        <v>7</v>
      </c>
      <c r="L412" s="104" t="s">
        <v>110</v>
      </c>
      <c r="M412" s="104" t="s">
        <v>147</v>
      </c>
      <c r="N412" s="104" t="s">
        <v>211</v>
      </c>
      <c r="O412" s="110">
        <v>1480</v>
      </c>
      <c r="P412" s="110">
        <v>1555.09</v>
      </c>
      <c r="Q412" s="114" t="s">
        <v>458</v>
      </c>
    </row>
    <row r="413" spans="1:17">
      <c r="A413" s="97">
        <v>412</v>
      </c>
      <c r="B413" s="101" t="s">
        <v>212</v>
      </c>
      <c r="C413" s="101">
        <v>46148</v>
      </c>
      <c r="D413" s="101">
        <v>46187</v>
      </c>
      <c r="E413" s="113">
        <v>3928</v>
      </c>
      <c r="F413" s="98" t="s">
        <v>244</v>
      </c>
      <c r="G413" s="99" t="s">
        <v>144</v>
      </c>
      <c r="H413" s="100" t="s">
        <v>248</v>
      </c>
      <c r="I413" s="104" t="s">
        <v>267</v>
      </c>
      <c r="J413" s="102" t="s">
        <v>146</v>
      </c>
      <c r="K413" s="103">
        <v>14</v>
      </c>
      <c r="L413" s="104" t="s">
        <v>110</v>
      </c>
      <c r="M413" s="104" t="s">
        <v>147</v>
      </c>
      <c r="N413" s="104" t="s">
        <v>211</v>
      </c>
      <c r="O413" s="110">
        <v>1480</v>
      </c>
      <c r="P413" s="110">
        <v>1555.09</v>
      </c>
      <c r="Q413" s="114" t="s">
        <v>458</v>
      </c>
    </row>
    <row r="414" spans="1:17">
      <c r="A414" s="97">
        <v>413</v>
      </c>
      <c r="B414" s="101" t="s">
        <v>212</v>
      </c>
      <c r="C414" s="101">
        <v>46148</v>
      </c>
      <c r="D414" s="101">
        <v>46187</v>
      </c>
      <c r="E414" s="113">
        <v>2945</v>
      </c>
      <c r="F414" s="98" t="s">
        <v>378</v>
      </c>
      <c r="G414" s="99" t="s">
        <v>144</v>
      </c>
      <c r="H414" s="100" t="s">
        <v>381</v>
      </c>
      <c r="I414" s="104" t="s">
        <v>386</v>
      </c>
      <c r="J414" s="102" t="s">
        <v>146</v>
      </c>
      <c r="K414" s="103">
        <v>14</v>
      </c>
      <c r="L414" s="104" t="s">
        <v>110</v>
      </c>
      <c r="M414" s="104" t="s">
        <v>147</v>
      </c>
      <c r="N414" s="104" t="s">
        <v>211</v>
      </c>
      <c r="O414" s="110">
        <v>1480</v>
      </c>
      <c r="P414" s="110">
        <v>1555.09</v>
      </c>
      <c r="Q414" s="114" t="s">
        <v>458</v>
      </c>
    </row>
    <row r="415" spans="1:17">
      <c r="A415" s="97">
        <v>414</v>
      </c>
      <c r="B415" s="101" t="s">
        <v>212</v>
      </c>
      <c r="C415" s="101">
        <v>46148</v>
      </c>
      <c r="D415" s="101">
        <v>46187</v>
      </c>
      <c r="E415" s="113">
        <v>3943</v>
      </c>
      <c r="F415" s="98" t="s">
        <v>320</v>
      </c>
      <c r="G415" s="99" t="s">
        <v>144</v>
      </c>
      <c r="H415" s="100" t="s">
        <v>334</v>
      </c>
      <c r="I415" s="104" t="s">
        <v>215</v>
      </c>
      <c r="J415" s="102" t="s">
        <v>146</v>
      </c>
      <c r="K415" s="103">
        <v>7</v>
      </c>
      <c r="L415" s="104" t="s">
        <v>110</v>
      </c>
      <c r="M415" s="104" t="s">
        <v>147</v>
      </c>
      <c r="N415" s="104" t="s">
        <v>211</v>
      </c>
      <c r="O415" s="110">
        <v>1480</v>
      </c>
      <c r="P415" s="110">
        <v>1555.09</v>
      </c>
      <c r="Q415" s="114" t="s">
        <v>458</v>
      </c>
    </row>
    <row r="416" spans="1:17">
      <c r="A416" s="97">
        <v>415</v>
      </c>
      <c r="B416" s="101" t="s">
        <v>212</v>
      </c>
      <c r="C416" s="101">
        <v>46148</v>
      </c>
      <c r="D416" s="101">
        <v>46187</v>
      </c>
      <c r="E416" s="113">
        <v>3939</v>
      </c>
      <c r="F416" s="98" t="s">
        <v>387</v>
      </c>
      <c r="G416" s="99" t="s">
        <v>144</v>
      </c>
      <c r="H416" s="100" t="s">
        <v>247</v>
      </c>
      <c r="I416" s="104" t="s">
        <v>281</v>
      </c>
      <c r="J416" s="102" t="s">
        <v>146</v>
      </c>
      <c r="K416" s="103">
        <v>14</v>
      </c>
      <c r="L416" s="104" t="s">
        <v>110</v>
      </c>
      <c r="M416" s="104" t="s">
        <v>147</v>
      </c>
      <c r="N416" s="104" t="s">
        <v>211</v>
      </c>
      <c r="O416" s="110">
        <v>1480</v>
      </c>
      <c r="P416" s="110">
        <v>1555.09</v>
      </c>
      <c r="Q416" s="114" t="s">
        <v>458</v>
      </c>
    </row>
    <row r="417" spans="1:17">
      <c r="A417" s="97">
        <v>416</v>
      </c>
      <c r="B417" s="101" t="s">
        <v>212</v>
      </c>
      <c r="C417" s="101">
        <v>46148</v>
      </c>
      <c r="D417" s="101">
        <v>46187</v>
      </c>
      <c r="E417" s="113">
        <v>3935</v>
      </c>
      <c r="F417" s="98" t="s">
        <v>332</v>
      </c>
      <c r="G417" s="99" t="s">
        <v>144</v>
      </c>
      <c r="H417" s="100" t="s">
        <v>336</v>
      </c>
      <c r="I417" s="104" t="s">
        <v>338</v>
      </c>
      <c r="J417" s="102" t="s">
        <v>146</v>
      </c>
      <c r="K417" s="103">
        <v>7</v>
      </c>
      <c r="L417" s="104" t="s">
        <v>110</v>
      </c>
      <c r="M417" s="104" t="s">
        <v>147</v>
      </c>
      <c r="N417" s="104" t="s">
        <v>211</v>
      </c>
      <c r="O417" s="110">
        <v>1480</v>
      </c>
      <c r="P417" s="110">
        <v>1555.09</v>
      </c>
      <c r="Q417" s="114" t="s">
        <v>458</v>
      </c>
    </row>
    <row r="418" spans="1:17">
      <c r="A418" s="97">
        <v>417</v>
      </c>
      <c r="B418" s="101" t="s">
        <v>212</v>
      </c>
      <c r="C418" s="101">
        <v>46148</v>
      </c>
      <c r="D418" s="101">
        <v>46187</v>
      </c>
      <c r="E418" s="113">
        <v>3931</v>
      </c>
      <c r="F418" s="98" t="s">
        <v>225</v>
      </c>
      <c r="G418" s="99" t="s">
        <v>144</v>
      </c>
      <c r="H418" s="100" t="s">
        <v>201</v>
      </c>
      <c r="I418" s="104" t="s">
        <v>186</v>
      </c>
      <c r="J418" s="102" t="s">
        <v>146</v>
      </c>
      <c r="K418" s="103">
        <v>14</v>
      </c>
      <c r="L418" s="104" t="s">
        <v>110</v>
      </c>
      <c r="M418" s="104" t="s">
        <v>147</v>
      </c>
      <c r="N418" s="104" t="s">
        <v>211</v>
      </c>
      <c r="O418" s="110">
        <v>1480</v>
      </c>
      <c r="P418" s="110">
        <v>1555.09</v>
      </c>
      <c r="Q418" s="114" t="s">
        <v>458</v>
      </c>
    </row>
    <row r="419" spans="1:17">
      <c r="A419" s="97">
        <v>418</v>
      </c>
      <c r="B419" s="101" t="s">
        <v>212</v>
      </c>
      <c r="C419" s="101">
        <v>46148</v>
      </c>
      <c r="D419" s="101">
        <v>46187</v>
      </c>
      <c r="E419" s="113">
        <v>3941</v>
      </c>
      <c r="F419" s="98" t="s">
        <v>366</v>
      </c>
      <c r="G419" s="99" t="s">
        <v>144</v>
      </c>
      <c r="H419" s="100" t="s">
        <v>218</v>
      </c>
      <c r="I419" s="104" t="s">
        <v>389</v>
      </c>
      <c r="J419" s="102" t="s">
        <v>146</v>
      </c>
      <c r="K419" s="103">
        <v>7</v>
      </c>
      <c r="L419" s="104" t="s">
        <v>110</v>
      </c>
      <c r="M419" s="104" t="s">
        <v>147</v>
      </c>
      <c r="N419" s="104" t="s">
        <v>211</v>
      </c>
      <c r="O419" s="110">
        <v>1480</v>
      </c>
      <c r="P419" s="110">
        <v>1555.09</v>
      </c>
      <c r="Q419" s="114" t="s">
        <v>458</v>
      </c>
    </row>
    <row r="420" spans="1:17">
      <c r="A420" s="97">
        <v>419</v>
      </c>
      <c r="B420" s="101" t="s">
        <v>212</v>
      </c>
      <c r="C420" s="101">
        <v>46148</v>
      </c>
      <c r="D420" s="101">
        <v>46187</v>
      </c>
      <c r="E420" s="113">
        <v>3933</v>
      </c>
      <c r="F420" s="98" t="s">
        <v>388</v>
      </c>
      <c r="G420" s="99" t="s">
        <v>144</v>
      </c>
      <c r="H420" s="100" t="s">
        <v>306</v>
      </c>
      <c r="I420" s="104" t="s">
        <v>325</v>
      </c>
      <c r="J420" s="102" t="s">
        <v>146</v>
      </c>
      <c r="K420" s="103">
        <v>14</v>
      </c>
      <c r="L420" s="104" t="s">
        <v>110</v>
      </c>
      <c r="M420" s="104" t="s">
        <v>147</v>
      </c>
      <c r="N420" s="104" t="s">
        <v>211</v>
      </c>
      <c r="O420" s="110">
        <v>1480</v>
      </c>
      <c r="P420" s="110">
        <v>1555.09</v>
      </c>
      <c r="Q420" s="114" t="s">
        <v>458</v>
      </c>
    </row>
    <row r="421" spans="1:17">
      <c r="A421" s="97">
        <v>420</v>
      </c>
      <c r="B421" s="101" t="s">
        <v>212</v>
      </c>
      <c r="C421" s="101">
        <v>46148</v>
      </c>
      <c r="D421" s="101">
        <v>46187</v>
      </c>
      <c r="E421" s="113">
        <v>3927</v>
      </c>
      <c r="F421" s="98" t="s">
        <v>244</v>
      </c>
      <c r="G421" s="99" t="s">
        <v>144</v>
      </c>
      <c r="H421" s="100" t="s">
        <v>248</v>
      </c>
      <c r="I421" s="104" t="s">
        <v>267</v>
      </c>
      <c r="J421" s="102" t="s">
        <v>146</v>
      </c>
      <c r="K421" s="103">
        <v>14</v>
      </c>
      <c r="L421" s="104" t="s">
        <v>110</v>
      </c>
      <c r="M421" s="104" t="s">
        <v>147</v>
      </c>
      <c r="N421" s="104" t="s">
        <v>211</v>
      </c>
      <c r="O421" s="110">
        <v>1480</v>
      </c>
      <c r="P421" s="110">
        <v>1555.09</v>
      </c>
      <c r="Q421" s="114" t="s">
        <v>458</v>
      </c>
    </row>
    <row r="422" spans="1:17">
      <c r="A422" s="97">
        <v>421</v>
      </c>
      <c r="B422" s="101" t="s">
        <v>212</v>
      </c>
      <c r="C422" s="101">
        <v>46148</v>
      </c>
      <c r="D422" s="101">
        <v>46187</v>
      </c>
      <c r="E422" s="113">
        <v>3946</v>
      </c>
      <c r="F422" s="98" t="s">
        <v>226</v>
      </c>
      <c r="G422" s="99" t="s">
        <v>144</v>
      </c>
      <c r="H422" s="100" t="s">
        <v>200</v>
      </c>
      <c r="I422" s="104" t="s">
        <v>390</v>
      </c>
      <c r="J422" s="102" t="s">
        <v>146</v>
      </c>
      <c r="K422" s="103">
        <v>14</v>
      </c>
      <c r="L422" s="104" t="s">
        <v>110</v>
      </c>
      <c r="M422" s="104" t="s">
        <v>147</v>
      </c>
      <c r="N422" s="104" t="s">
        <v>211</v>
      </c>
      <c r="O422" s="110">
        <v>1480</v>
      </c>
      <c r="P422" s="110">
        <v>1555.09</v>
      </c>
      <c r="Q422" s="114" t="s">
        <v>458</v>
      </c>
    </row>
    <row r="423" spans="1:17">
      <c r="A423" s="97">
        <v>422</v>
      </c>
      <c r="B423" s="101" t="s">
        <v>212</v>
      </c>
      <c r="C423" s="101">
        <v>46148</v>
      </c>
      <c r="D423" s="101">
        <v>46187</v>
      </c>
      <c r="E423" s="113">
        <v>3944</v>
      </c>
      <c r="F423" s="98" t="s">
        <v>378</v>
      </c>
      <c r="G423" s="99" t="s">
        <v>144</v>
      </c>
      <c r="H423" s="100" t="s">
        <v>381</v>
      </c>
      <c r="I423" s="104" t="s">
        <v>386</v>
      </c>
      <c r="J423" s="102" t="s">
        <v>146</v>
      </c>
      <c r="K423" s="103">
        <v>14</v>
      </c>
      <c r="L423" s="104" t="s">
        <v>110</v>
      </c>
      <c r="M423" s="104" t="s">
        <v>147</v>
      </c>
      <c r="N423" s="104" t="s">
        <v>211</v>
      </c>
      <c r="O423" s="110">
        <v>1480</v>
      </c>
      <c r="P423" s="110">
        <v>1555.09</v>
      </c>
      <c r="Q423" s="114" t="s">
        <v>458</v>
      </c>
    </row>
    <row r="424" spans="1:17">
      <c r="A424" s="97">
        <v>423</v>
      </c>
      <c r="B424" s="101" t="s">
        <v>212</v>
      </c>
      <c r="C424" s="101">
        <v>46148</v>
      </c>
      <c r="D424" s="101">
        <v>46187</v>
      </c>
      <c r="E424" s="113">
        <v>3942</v>
      </c>
      <c r="F424" s="98" t="s">
        <v>320</v>
      </c>
      <c r="G424" s="99" t="s">
        <v>144</v>
      </c>
      <c r="H424" s="100" t="s">
        <v>334</v>
      </c>
      <c r="I424" s="104" t="s">
        <v>215</v>
      </c>
      <c r="J424" s="102" t="s">
        <v>146</v>
      </c>
      <c r="K424" s="103">
        <v>7</v>
      </c>
      <c r="L424" s="104" t="s">
        <v>110</v>
      </c>
      <c r="M424" s="104" t="s">
        <v>147</v>
      </c>
      <c r="N424" s="104" t="s">
        <v>211</v>
      </c>
      <c r="O424" s="110">
        <v>1480</v>
      </c>
      <c r="P424" s="110">
        <v>1555.09</v>
      </c>
      <c r="Q424" s="114" t="s">
        <v>458</v>
      </c>
    </row>
    <row r="425" spans="1:17">
      <c r="A425" s="97">
        <v>424</v>
      </c>
      <c r="B425" s="101" t="s">
        <v>212</v>
      </c>
      <c r="C425" s="101">
        <v>46148</v>
      </c>
      <c r="D425" s="101">
        <v>46187</v>
      </c>
      <c r="E425" s="113">
        <v>3938</v>
      </c>
      <c r="F425" s="98" t="s">
        <v>387</v>
      </c>
      <c r="G425" s="99" t="s">
        <v>144</v>
      </c>
      <c r="H425" s="100" t="s">
        <v>247</v>
      </c>
      <c r="I425" s="104" t="s">
        <v>174</v>
      </c>
      <c r="J425" s="102" t="s">
        <v>146</v>
      </c>
      <c r="K425" s="103">
        <v>14</v>
      </c>
      <c r="L425" s="104" t="s">
        <v>110</v>
      </c>
      <c r="M425" s="104" t="s">
        <v>147</v>
      </c>
      <c r="N425" s="104" t="s">
        <v>211</v>
      </c>
      <c r="O425" s="110">
        <v>1480</v>
      </c>
      <c r="P425" s="110">
        <v>1555.09</v>
      </c>
      <c r="Q425" s="114" t="s">
        <v>458</v>
      </c>
    </row>
    <row r="426" spans="1:17">
      <c r="A426" s="97">
        <v>425</v>
      </c>
      <c r="B426" s="101" t="s">
        <v>212</v>
      </c>
      <c r="C426" s="101">
        <v>46148</v>
      </c>
      <c r="D426" s="101">
        <v>46187</v>
      </c>
      <c r="E426" s="113">
        <v>3934</v>
      </c>
      <c r="F426" s="98" t="s">
        <v>332</v>
      </c>
      <c r="G426" s="99" t="s">
        <v>144</v>
      </c>
      <c r="H426" s="100" t="s">
        <v>336</v>
      </c>
      <c r="I426" s="104" t="s">
        <v>338</v>
      </c>
      <c r="J426" s="102" t="s">
        <v>146</v>
      </c>
      <c r="K426" s="103">
        <v>7</v>
      </c>
      <c r="L426" s="104" t="s">
        <v>110</v>
      </c>
      <c r="M426" s="104" t="s">
        <v>147</v>
      </c>
      <c r="N426" s="104" t="s">
        <v>211</v>
      </c>
      <c r="O426" s="110">
        <v>1480</v>
      </c>
      <c r="P426" s="110">
        <v>1555.09</v>
      </c>
      <c r="Q426" s="114" t="s">
        <v>458</v>
      </c>
    </row>
    <row r="427" spans="1:17">
      <c r="A427" s="97">
        <v>426</v>
      </c>
      <c r="B427" s="101" t="s">
        <v>212</v>
      </c>
      <c r="C427" s="101">
        <v>46148</v>
      </c>
      <c r="D427" s="101">
        <v>46187</v>
      </c>
      <c r="E427" s="113">
        <v>3940</v>
      </c>
      <c r="F427" s="98" t="s">
        <v>366</v>
      </c>
      <c r="G427" s="99" t="s">
        <v>144</v>
      </c>
      <c r="H427" s="100" t="s">
        <v>218</v>
      </c>
      <c r="I427" s="104" t="s">
        <v>389</v>
      </c>
      <c r="J427" s="102" t="s">
        <v>146</v>
      </c>
      <c r="K427" s="103">
        <v>7</v>
      </c>
      <c r="L427" s="104" t="s">
        <v>110</v>
      </c>
      <c r="M427" s="104" t="s">
        <v>147</v>
      </c>
      <c r="N427" s="104" t="s">
        <v>211</v>
      </c>
      <c r="O427" s="110">
        <v>1480</v>
      </c>
      <c r="P427" s="110">
        <v>1555.09</v>
      </c>
      <c r="Q427" s="114" t="s">
        <v>458</v>
      </c>
    </row>
    <row r="428" spans="1:17">
      <c r="A428" s="97">
        <v>427</v>
      </c>
      <c r="B428" s="101" t="s">
        <v>212</v>
      </c>
      <c r="C428" s="101">
        <v>46148</v>
      </c>
      <c r="D428" s="101">
        <v>46187</v>
      </c>
      <c r="E428" s="113">
        <v>3930</v>
      </c>
      <c r="F428" s="98" t="s">
        <v>225</v>
      </c>
      <c r="G428" s="99" t="s">
        <v>144</v>
      </c>
      <c r="H428" s="100" t="s">
        <v>201</v>
      </c>
      <c r="I428" s="104" t="s">
        <v>175</v>
      </c>
      <c r="J428" s="102" t="s">
        <v>146</v>
      </c>
      <c r="K428" s="103">
        <v>14</v>
      </c>
      <c r="L428" s="104" t="s">
        <v>110</v>
      </c>
      <c r="M428" s="104" t="s">
        <v>147</v>
      </c>
      <c r="N428" s="104" t="s">
        <v>211</v>
      </c>
      <c r="O428" s="110">
        <v>1480</v>
      </c>
      <c r="P428" s="110">
        <v>1555.09</v>
      </c>
      <c r="Q428" s="114" t="s">
        <v>458</v>
      </c>
    </row>
    <row r="429" spans="1:17">
      <c r="A429" s="97">
        <v>428</v>
      </c>
      <c r="B429" s="101" t="s">
        <v>182</v>
      </c>
      <c r="C429" s="101">
        <v>46148</v>
      </c>
      <c r="D429" s="101">
        <v>46187</v>
      </c>
      <c r="E429" s="113">
        <v>3932</v>
      </c>
      <c r="F429" s="98" t="s">
        <v>388</v>
      </c>
      <c r="G429" s="99" t="s">
        <v>144</v>
      </c>
      <c r="H429" s="100" t="s">
        <v>306</v>
      </c>
      <c r="I429" s="104" t="s">
        <v>325</v>
      </c>
      <c r="J429" s="102" t="s">
        <v>146</v>
      </c>
      <c r="K429" s="103">
        <v>14</v>
      </c>
      <c r="L429" s="104" t="s">
        <v>100</v>
      </c>
      <c r="M429" s="104" t="s">
        <v>147</v>
      </c>
      <c r="N429" s="104" t="s">
        <v>211</v>
      </c>
      <c r="O429" s="110">
        <v>0</v>
      </c>
      <c r="P429" s="110">
        <v>24</v>
      </c>
      <c r="Q429" s="114" t="s">
        <v>459</v>
      </c>
    </row>
    <row r="430" spans="1:17">
      <c r="A430" s="97">
        <v>429</v>
      </c>
      <c r="B430" s="101" t="s">
        <v>182</v>
      </c>
      <c r="C430" s="101">
        <v>46148</v>
      </c>
      <c r="D430" s="101">
        <v>46187</v>
      </c>
      <c r="E430" s="113">
        <v>3926</v>
      </c>
      <c r="F430" s="98" t="s">
        <v>244</v>
      </c>
      <c r="G430" s="99" t="s">
        <v>144</v>
      </c>
      <c r="H430" s="100" t="s">
        <v>248</v>
      </c>
      <c r="I430" s="104" t="s">
        <v>267</v>
      </c>
      <c r="J430" s="102" t="s">
        <v>146</v>
      </c>
      <c r="K430" s="103">
        <v>14</v>
      </c>
      <c r="L430" s="104" t="s">
        <v>100</v>
      </c>
      <c r="M430" s="104" t="s">
        <v>147</v>
      </c>
      <c r="N430" s="104" t="s">
        <v>211</v>
      </c>
      <c r="O430" s="110">
        <v>0</v>
      </c>
      <c r="P430" s="110">
        <v>24</v>
      </c>
      <c r="Q430" s="114" t="s">
        <v>459</v>
      </c>
    </row>
    <row r="431" spans="1:17">
      <c r="A431" s="97">
        <v>430</v>
      </c>
      <c r="B431" s="101" t="s">
        <v>182</v>
      </c>
      <c r="C431" s="101">
        <v>46148</v>
      </c>
      <c r="D431" s="101">
        <v>46187</v>
      </c>
      <c r="E431" s="113">
        <v>3916</v>
      </c>
      <c r="F431" s="98" t="s">
        <v>367</v>
      </c>
      <c r="G431" s="99" t="s">
        <v>144</v>
      </c>
      <c r="H431" s="100" t="s">
        <v>217</v>
      </c>
      <c r="I431" s="104" t="s">
        <v>461</v>
      </c>
      <c r="J431" s="102" t="s">
        <v>146</v>
      </c>
      <c r="K431" s="103">
        <v>7</v>
      </c>
      <c r="L431" s="104" t="s">
        <v>100</v>
      </c>
      <c r="M431" s="104" t="s">
        <v>147</v>
      </c>
      <c r="N431" s="104" t="s">
        <v>211</v>
      </c>
      <c r="O431" s="110">
        <v>460</v>
      </c>
      <c r="P431" s="110">
        <v>480</v>
      </c>
      <c r="Q431" s="114" t="s">
        <v>458</v>
      </c>
    </row>
    <row r="432" spans="1:17">
      <c r="A432" s="97">
        <v>431</v>
      </c>
      <c r="B432" s="101" t="s">
        <v>182</v>
      </c>
      <c r="C432" s="101">
        <v>46148</v>
      </c>
      <c r="D432" s="101">
        <v>46187</v>
      </c>
      <c r="E432" s="113">
        <v>3904</v>
      </c>
      <c r="F432" s="98" t="s">
        <v>460</v>
      </c>
      <c r="G432" s="99" t="s">
        <v>144</v>
      </c>
      <c r="H432" s="100" t="s">
        <v>171</v>
      </c>
      <c r="I432" s="104" t="s">
        <v>214</v>
      </c>
      <c r="J432" s="102" t="s">
        <v>146</v>
      </c>
      <c r="K432" s="103">
        <v>14</v>
      </c>
      <c r="L432" s="104" t="s">
        <v>100</v>
      </c>
      <c r="M432" s="104" t="s">
        <v>147</v>
      </c>
      <c r="N432" s="104" t="s">
        <v>211</v>
      </c>
      <c r="O432" s="110">
        <v>460</v>
      </c>
      <c r="P432" s="110">
        <v>480</v>
      </c>
      <c r="Q432" s="114" t="s">
        <v>458</v>
      </c>
    </row>
    <row r="433" spans="1:17" ht="15" customHeight="1">
      <c r="A433" s="97">
        <v>432</v>
      </c>
      <c r="B433" s="101" t="s">
        <v>184</v>
      </c>
      <c r="C433" s="101">
        <v>46148</v>
      </c>
      <c r="D433" s="117">
        <v>46188</v>
      </c>
      <c r="E433" s="106">
        <v>167</v>
      </c>
      <c r="F433" s="98" t="s">
        <v>189</v>
      </c>
      <c r="G433" s="99" t="s">
        <v>144</v>
      </c>
      <c r="H433" s="100">
        <v>33</v>
      </c>
      <c r="I433" s="104" t="s">
        <v>194</v>
      </c>
      <c r="J433" s="102" t="s">
        <v>530</v>
      </c>
      <c r="K433" s="103">
        <v>30</v>
      </c>
      <c r="L433" s="104" t="s">
        <v>110</v>
      </c>
      <c r="M433" s="104" t="s">
        <v>139</v>
      </c>
      <c r="N433" s="104"/>
      <c r="O433" s="109"/>
      <c r="P433" s="109"/>
      <c r="Q433" s="105" t="s">
        <v>458</v>
      </c>
    </row>
    <row r="434" spans="1:17" ht="15" customHeight="1">
      <c r="A434" s="97">
        <v>433</v>
      </c>
      <c r="B434" s="101" t="s">
        <v>184</v>
      </c>
      <c r="C434" s="101">
        <v>46148</v>
      </c>
      <c r="D434" s="117">
        <v>46188</v>
      </c>
      <c r="E434" s="106">
        <v>64560</v>
      </c>
      <c r="F434" s="98" t="s">
        <v>512</v>
      </c>
      <c r="G434" s="99" t="s">
        <v>101</v>
      </c>
      <c r="H434" s="100" t="s">
        <v>128</v>
      </c>
      <c r="I434" s="104" t="s">
        <v>316</v>
      </c>
      <c r="J434" s="102" t="s">
        <v>250</v>
      </c>
      <c r="K434" s="103">
        <v>30</v>
      </c>
      <c r="L434" s="104" t="s">
        <v>110</v>
      </c>
      <c r="M434" s="104" t="s">
        <v>139</v>
      </c>
      <c r="N434" s="104"/>
      <c r="O434" s="109"/>
      <c r="P434" s="109"/>
      <c r="Q434" s="105" t="s">
        <v>458</v>
      </c>
    </row>
    <row r="435" spans="1:17" ht="15" customHeight="1">
      <c r="A435" s="97">
        <v>434</v>
      </c>
      <c r="B435" s="101" t="s">
        <v>184</v>
      </c>
      <c r="C435" s="101">
        <v>46148</v>
      </c>
      <c r="D435" s="117">
        <v>46188</v>
      </c>
      <c r="E435" s="106">
        <v>64562</v>
      </c>
      <c r="F435" s="98" t="s">
        <v>514</v>
      </c>
      <c r="G435" s="99" t="s">
        <v>101</v>
      </c>
      <c r="H435" s="100" t="s">
        <v>505</v>
      </c>
      <c r="I435" s="104" t="s">
        <v>317</v>
      </c>
      <c r="J435" s="102" t="s">
        <v>250</v>
      </c>
      <c r="K435" s="103">
        <v>30</v>
      </c>
      <c r="L435" s="104" t="s">
        <v>110</v>
      </c>
      <c r="M435" s="104" t="s">
        <v>139</v>
      </c>
      <c r="N435" s="104"/>
      <c r="O435" s="109"/>
      <c r="P435" s="109"/>
      <c r="Q435" s="105" t="s">
        <v>458</v>
      </c>
    </row>
    <row r="436" spans="1:17" ht="15" customHeight="1">
      <c r="A436" s="97">
        <v>435</v>
      </c>
      <c r="B436" s="101" t="s">
        <v>184</v>
      </c>
      <c r="C436" s="101">
        <v>46148</v>
      </c>
      <c r="D436" s="117">
        <v>46188</v>
      </c>
      <c r="E436" s="106">
        <v>64561</v>
      </c>
      <c r="F436" s="98" t="s">
        <v>512</v>
      </c>
      <c r="G436" s="99" t="s">
        <v>101</v>
      </c>
      <c r="H436" s="100" t="s">
        <v>128</v>
      </c>
      <c r="I436" s="104" t="s">
        <v>316</v>
      </c>
      <c r="J436" s="102" t="s">
        <v>250</v>
      </c>
      <c r="K436" s="103">
        <v>30</v>
      </c>
      <c r="L436" s="104" t="s">
        <v>110</v>
      </c>
      <c r="M436" s="104" t="s">
        <v>139</v>
      </c>
      <c r="N436" s="104"/>
      <c r="O436" s="109"/>
      <c r="P436" s="109"/>
      <c r="Q436" s="105" t="s">
        <v>458</v>
      </c>
    </row>
    <row r="437" spans="1:17" ht="15" customHeight="1">
      <c r="A437" s="97">
        <v>436</v>
      </c>
      <c r="B437" s="101" t="s">
        <v>184</v>
      </c>
      <c r="C437" s="101">
        <v>46148</v>
      </c>
      <c r="D437" s="117">
        <v>46188</v>
      </c>
      <c r="E437" s="106">
        <v>64563</v>
      </c>
      <c r="F437" s="98" t="s">
        <v>514</v>
      </c>
      <c r="G437" s="99" t="s">
        <v>101</v>
      </c>
      <c r="H437" s="100" t="s">
        <v>505</v>
      </c>
      <c r="I437" s="104" t="s">
        <v>317</v>
      </c>
      <c r="J437" s="102" t="s">
        <v>250</v>
      </c>
      <c r="K437" s="103">
        <v>30</v>
      </c>
      <c r="L437" s="104" t="s">
        <v>110</v>
      </c>
      <c r="M437" s="104" t="s">
        <v>139</v>
      </c>
      <c r="N437" s="104"/>
      <c r="O437" s="109"/>
      <c r="P437" s="109"/>
      <c r="Q437" s="105" t="s">
        <v>458</v>
      </c>
    </row>
    <row r="438" spans="1:17" ht="15" customHeight="1">
      <c r="A438" s="97">
        <v>437</v>
      </c>
      <c r="B438" s="101" t="s">
        <v>184</v>
      </c>
      <c r="C438" s="101">
        <v>46148</v>
      </c>
      <c r="D438" s="117">
        <v>46188</v>
      </c>
      <c r="E438" s="106">
        <v>64564</v>
      </c>
      <c r="F438" s="98" t="s">
        <v>514</v>
      </c>
      <c r="G438" s="99" t="s">
        <v>101</v>
      </c>
      <c r="H438" s="100" t="s">
        <v>505</v>
      </c>
      <c r="I438" s="104" t="s">
        <v>317</v>
      </c>
      <c r="J438" s="102" t="s">
        <v>250</v>
      </c>
      <c r="K438" s="103">
        <v>30</v>
      </c>
      <c r="L438" s="104" t="s">
        <v>110</v>
      </c>
      <c r="M438" s="104" t="s">
        <v>139</v>
      </c>
      <c r="N438" s="104"/>
      <c r="O438" s="109"/>
      <c r="P438" s="109"/>
      <c r="Q438" s="105" t="s">
        <v>458</v>
      </c>
    </row>
    <row r="439" spans="1:17">
      <c r="A439" s="97">
        <v>438</v>
      </c>
      <c r="B439" s="101" t="s">
        <v>182</v>
      </c>
      <c r="C439" s="101">
        <v>46148</v>
      </c>
      <c r="D439" s="101">
        <v>46188</v>
      </c>
      <c r="E439" s="113">
        <v>3966</v>
      </c>
      <c r="F439" s="98" t="s">
        <v>462</v>
      </c>
      <c r="G439" s="99" t="s">
        <v>144</v>
      </c>
      <c r="H439" s="100" t="s">
        <v>464</v>
      </c>
      <c r="I439" s="104" t="s">
        <v>466</v>
      </c>
      <c r="J439" s="102" t="s">
        <v>146</v>
      </c>
      <c r="K439" s="103">
        <v>14</v>
      </c>
      <c r="L439" s="104" t="s">
        <v>100</v>
      </c>
      <c r="M439" s="104" t="s">
        <v>147</v>
      </c>
      <c r="N439" s="104" t="s">
        <v>211</v>
      </c>
      <c r="O439" s="110">
        <v>460</v>
      </c>
      <c r="P439" s="110">
        <v>560</v>
      </c>
      <c r="Q439" s="114" t="s">
        <v>458</v>
      </c>
    </row>
    <row r="440" spans="1:17">
      <c r="A440" s="97">
        <v>439</v>
      </c>
      <c r="B440" s="101" t="s">
        <v>182</v>
      </c>
      <c r="C440" s="101">
        <v>46148</v>
      </c>
      <c r="D440" s="101">
        <v>46188</v>
      </c>
      <c r="E440" s="113">
        <v>3963</v>
      </c>
      <c r="F440" s="98" t="s">
        <v>362</v>
      </c>
      <c r="G440" s="99" t="s">
        <v>144</v>
      </c>
      <c r="H440" s="100" t="s">
        <v>260</v>
      </c>
      <c r="I440" s="104" t="s">
        <v>288</v>
      </c>
      <c r="J440" s="102" t="s">
        <v>146</v>
      </c>
      <c r="K440" s="103">
        <v>14</v>
      </c>
      <c r="L440" s="104" t="s">
        <v>100</v>
      </c>
      <c r="M440" s="104" t="s">
        <v>147</v>
      </c>
      <c r="N440" s="104" t="s">
        <v>211</v>
      </c>
      <c r="O440" s="110">
        <v>460</v>
      </c>
      <c r="P440" s="110">
        <v>560</v>
      </c>
      <c r="Q440" s="114" t="s">
        <v>458</v>
      </c>
    </row>
    <row r="441" spans="1:17">
      <c r="A441" s="97">
        <v>440</v>
      </c>
      <c r="B441" s="101" t="s">
        <v>182</v>
      </c>
      <c r="C441" s="101">
        <v>46148</v>
      </c>
      <c r="D441" s="101">
        <v>46188</v>
      </c>
      <c r="E441" s="113">
        <v>3960</v>
      </c>
      <c r="F441" s="98" t="s">
        <v>374</v>
      </c>
      <c r="G441" s="99" t="s">
        <v>144</v>
      </c>
      <c r="H441" s="100" t="s">
        <v>379</v>
      </c>
      <c r="I441" s="104" t="s">
        <v>382</v>
      </c>
      <c r="J441" s="102" t="s">
        <v>146</v>
      </c>
      <c r="K441" s="103">
        <v>14</v>
      </c>
      <c r="L441" s="104" t="s">
        <v>100</v>
      </c>
      <c r="M441" s="104" t="s">
        <v>147</v>
      </c>
      <c r="N441" s="104" t="s">
        <v>211</v>
      </c>
      <c r="O441" s="110">
        <v>460</v>
      </c>
      <c r="P441" s="110">
        <v>560</v>
      </c>
      <c r="Q441" s="114" t="s">
        <v>458</v>
      </c>
    </row>
    <row r="442" spans="1:17">
      <c r="A442" s="97">
        <v>441</v>
      </c>
      <c r="B442" s="101" t="s">
        <v>182</v>
      </c>
      <c r="C442" s="101">
        <v>46148</v>
      </c>
      <c r="D442" s="101">
        <v>46188</v>
      </c>
      <c r="E442" s="113">
        <v>3965</v>
      </c>
      <c r="F442" s="98" t="s">
        <v>331</v>
      </c>
      <c r="G442" s="99" t="s">
        <v>144</v>
      </c>
      <c r="H442" s="100" t="s">
        <v>465</v>
      </c>
      <c r="I442" s="104" t="s">
        <v>467</v>
      </c>
      <c r="J442" s="102" t="s">
        <v>146</v>
      </c>
      <c r="K442" s="103">
        <v>14</v>
      </c>
      <c r="L442" s="104" t="s">
        <v>100</v>
      </c>
      <c r="M442" s="104" t="s">
        <v>147</v>
      </c>
      <c r="N442" s="104" t="s">
        <v>211</v>
      </c>
      <c r="O442" s="110">
        <v>460</v>
      </c>
      <c r="P442" s="110">
        <v>560</v>
      </c>
      <c r="Q442" s="114" t="s">
        <v>458</v>
      </c>
    </row>
    <row r="443" spans="1:17">
      <c r="A443" s="97">
        <v>442</v>
      </c>
      <c r="B443" s="101" t="s">
        <v>182</v>
      </c>
      <c r="C443" s="101">
        <v>46148</v>
      </c>
      <c r="D443" s="101">
        <v>46188</v>
      </c>
      <c r="E443" s="113">
        <v>3962</v>
      </c>
      <c r="F443" s="98" t="s">
        <v>362</v>
      </c>
      <c r="G443" s="99" t="s">
        <v>144</v>
      </c>
      <c r="H443" s="100" t="s">
        <v>260</v>
      </c>
      <c r="I443" s="104" t="s">
        <v>288</v>
      </c>
      <c r="J443" s="102" t="s">
        <v>146</v>
      </c>
      <c r="K443" s="103">
        <v>14</v>
      </c>
      <c r="L443" s="104" t="s">
        <v>100</v>
      </c>
      <c r="M443" s="104" t="s">
        <v>147</v>
      </c>
      <c r="N443" s="104" t="s">
        <v>211</v>
      </c>
      <c r="O443" s="110">
        <v>460</v>
      </c>
      <c r="P443" s="110">
        <v>560</v>
      </c>
      <c r="Q443" s="114" t="s">
        <v>458</v>
      </c>
    </row>
    <row r="444" spans="1:17">
      <c r="A444" s="97">
        <v>443</v>
      </c>
      <c r="B444" s="101" t="s">
        <v>182</v>
      </c>
      <c r="C444" s="101">
        <v>46148</v>
      </c>
      <c r="D444" s="101">
        <v>46188</v>
      </c>
      <c r="E444" s="113">
        <v>3964</v>
      </c>
      <c r="F444" s="98" t="s">
        <v>463</v>
      </c>
      <c r="G444" s="99" t="s">
        <v>144</v>
      </c>
      <c r="H444" s="100" t="s">
        <v>171</v>
      </c>
      <c r="I444" s="104" t="s">
        <v>461</v>
      </c>
      <c r="J444" s="102" t="s">
        <v>146</v>
      </c>
      <c r="K444" s="103">
        <v>7</v>
      </c>
      <c r="L444" s="104" t="s">
        <v>100</v>
      </c>
      <c r="M444" s="104" t="s">
        <v>147</v>
      </c>
      <c r="N444" s="104" t="s">
        <v>211</v>
      </c>
      <c r="O444" s="110">
        <v>230</v>
      </c>
      <c r="P444" s="110">
        <v>260</v>
      </c>
      <c r="Q444" s="114" t="s">
        <v>458</v>
      </c>
    </row>
    <row r="445" spans="1:17">
      <c r="A445" s="97">
        <v>444</v>
      </c>
      <c r="B445" s="101" t="s">
        <v>182</v>
      </c>
      <c r="C445" s="101">
        <v>46148</v>
      </c>
      <c r="D445" s="101">
        <v>46188</v>
      </c>
      <c r="E445" s="113">
        <v>3959</v>
      </c>
      <c r="F445" s="98" t="s">
        <v>374</v>
      </c>
      <c r="G445" s="99" t="s">
        <v>144</v>
      </c>
      <c r="H445" s="100" t="s">
        <v>379</v>
      </c>
      <c r="I445" s="104" t="s">
        <v>382</v>
      </c>
      <c r="J445" s="102" t="s">
        <v>146</v>
      </c>
      <c r="K445" s="103">
        <v>14</v>
      </c>
      <c r="L445" s="104" t="s">
        <v>100</v>
      </c>
      <c r="M445" s="104" t="s">
        <v>147</v>
      </c>
      <c r="N445" s="104" t="s">
        <v>211</v>
      </c>
      <c r="O445" s="110">
        <v>230</v>
      </c>
      <c r="P445" s="110">
        <v>260</v>
      </c>
      <c r="Q445" s="114" t="s">
        <v>458</v>
      </c>
    </row>
    <row r="446" spans="1:17">
      <c r="A446" s="97">
        <v>445</v>
      </c>
      <c r="B446" s="101" t="s">
        <v>182</v>
      </c>
      <c r="C446" s="101">
        <v>46148</v>
      </c>
      <c r="D446" s="101">
        <v>46188</v>
      </c>
      <c r="E446" s="113">
        <v>3961</v>
      </c>
      <c r="F446" s="98" t="s">
        <v>362</v>
      </c>
      <c r="G446" s="99" t="s">
        <v>144</v>
      </c>
      <c r="H446" s="100" t="s">
        <v>260</v>
      </c>
      <c r="I446" s="104" t="s">
        <v>288</v>
      </c>
      <c r="J446" s="102" t="s">
        <v>146</v>
      </c>
      <c r="K446" s="103">
        <v>14</v>
      </c>
      <c r="L446" s="104" t="s">
        <v>100</v>
      </c>
      <c r="M446" s="104" t="s">
        <v>147</v>
      </c>
      <c r="N446" s="104" t="s">
        <v>211</v>
      </c>
      <c r="O446" s="110">
        <v>460</v>
      </c>
      <c r="P446" s="110">
        <v>560</v>
      </c>
      <c r="Q446" s="114" t="s">
        <v>458</v>
      </c>
    </row>
    <row r="447" spans="1:17">
      <c r="A447" s="97">
        <v>446</v>
      </c>
      <c r="B447" s="101" t="s">
        <v>182</v>
      </c>
      <c r="C447" s="101">
        <v>46148</v>
      </c>
      <c r="D447" s="101">
        <v>46188</v>
      </c>
      <c r="E447" s="113">
        <v>3958</v>
      </c>
      <c r="F447" s="98" t="s">
        <v>374</v>
      </c>
      <c r="G447" s="99" t="s">
        <v>144</v>
      </c>
      <c r="H447" s="100" t="s">
        <v>379</v>
      </c>
      <c r="I447" s="104" t="s">
        <v>382</v>
      </c>
      <c r="J447" s="102" t="s">
        <v>146</v>
      </c>
      <c r="K447" s="103">
        <v>14</v>
      </c>
      <c r="L447" s="104" t="s">
        <v>100</v>
      </c>
      <c r="M447" s="104" t="s">
        <v>147</v>
      </c>
      <c r="N447" s="104" t="s">
        <v>211</v>
      </c>
      <c r="O447" s="110">
        <v>460</v>
      </c>
      <c r="P447" s="110">
        <v>560</v>
      </c>
      <c r="Q447" s="114" t="s">
        <v>458</v>
      </c>
    </row>
    <row r="448" spans="1:17">
      <c r="A448" s="97">
        <v>447</v>
      </c>
      <c r="B448" s="101" t="s">
        <v>212</v>
      </c>
      <c r="C448" s="101">
        <v>46148</v>
      </c>
      <c r="D448" s="101">
        <v>46189</v>
      </c>
      <c r="E448" s="113">
        <v>3983</v>
      </c>
      <c r="F448" s="98" t="s">
        <v>376</v>
      </c>
      <c r="G448" s="99" t="s">
        <v>144</v>
      </c>
      <c r="H448" s="100" t="s">
        <v>303</v>
      </c>
      <c r="I448" s="104" t="s">
        <v>339</v>
      </c>
      <c r="J448" s="102" t="s">
        <v>146</v>
      </c>
      <c r="K448" s="103">
        <v>14</v>
      </c>
      <c r="L448" s="104" t="s">
        <v>110</v>
      </c>
      <c r="M448" s="104" t="s">
        <v>147</v>
      </c>
      <c r="N448" s="104" t="s">
        <v>211</v>
      </c>
      <c r="O448" s="110">
        <v>800</v>
      </c>
      <c r="P448" s="110">
        <v>920</v>
      </c>
      <c r="Q448" s="114" t="s">
        <v>458</v>
      </c>
    </row>
    <row r="449" spans="1:17">
      <c r="A449" s="97">
        <v>448</v>
      </c>
      <c r="B449" s="101" t="s">
        <v>212</v>
      </c>
      <c r="C449" s="101">
        <v>46148</v>
      </c>
      <c r="D449" s="101">
        <v>46189</v>
      </c>
      <c r="E449" s="113">
        <v>3974</v>
      </c>
      <c r="F449" s="98" t="s">
        <v>221</v>
      </c>
      <c r="G449" s="99" t="s">
        <v>144</v>
      </c>
      <c r="H449" s="100" t="s">
        <v>196</v>
      </c>
      <c r="I449" s="104" t="s">
        <v>203</v>
      </c>
      <c r="J449" s="102" t="s">
        <v>146</v>
      </c>
      <c r="K449" s="103">
        <v>7</v>
      </c>
      <c r="L449" s="104" t="s">
        <v>110</v>
      </c>
      <c r="M449" s="104" t="s">
        <v>147</v>
      </c>
      <c r="N449" s="104" t="s">
        <v>211</v>
      </c>
      <c r="O449" s="110">
        <v>800</v>
      </c>
      <c r="P449" s="110">
        <v>920</v>
      </c>
      <c r="Q449" s="114" t="s">
        <v>458</v>
      </c>
    </row>
    <row r="450" spans="1:17">
      <c r="A450" s="97">
        <v>449</v>
      </c>
      <c r="B450" s="101" t="s">
        <v>212</v>
      </c>
      <c r="C450" s="101">
        <v>46148</v>
      </c>
      <c r="D450" s="101">
        <v>46189</v>
      </c>
      <c r="E450" s="113">
        <v>3977</v>
      </c>
      <c r="F450" s="98" t="s">
        <v>320</v>
      </c>
      <c r="G450" s="99" t="s">
        <v>144</v>
      </c>
      <c r="H450" s="100" t="s">
        <v>305</v>
      </c>
      <c r="I450" s="104" t="s">
        <v>215</v>
      </c>
      <c r="J450" s="102" t="s">
        <v>146</v>
      </c>
      <c r="K450" s="103">
        <v>7</v>
      </c>
      <c r="L450" s="104" t="s">
        <v>110</v>
      </c>
      <c r="M450" s="104" t="s">
        <v>147</v>
      </c>
      <c r="N450" s="104" t="s">
        <v>211</v>
      </c>
      <c r="O450" s="110">
        <v>800</v>
      </c>
      <c r="P450" s="110">
        <v>920</v>
      </c>
      <c r="Q450" s="114" t="s">
        <v>458</v>
      </c>
    </row>
    <row r="451" spans="1:17">
      <c r="A451" s="97">
        <v>450</v>
      </c>
      <c r="B451" s="101" t="s">
        <v>212</v>
      </c>
      <c r="C451" s="101">
        <v>46148</v>
      </c>
      <c r="D451" s="101">
        <v>46189</v>
      </c>
      <c r="E451" s="113">
        <v>3988</v>
      </c>
      <c r="F451" s="98" t="s">
        <v>302</v>
      </c>
      <c r="G451" s="99" t="s">
        <v>144</v>
      </c>
      <c r="H451" s="100" t="s">
        <v>307</v>
      </c>
      <c r="I451" s="104" t="s">
        <v>327</v>
      </c>
      <c r="J451" s="102" t="s">
        <v>146</v>
      </c>
      <c r="K451" s="103">
        <v>14</v>
      </c>
      <c r="L451" s="104" t="s">
        <v>110</v>
      </c>
      <c r="M451" s="104" t="s">
        <v>147</v>
      </c>
      <c r="N451" s="104" t="s">
        <v>211</v>
      </c>
      <c r="O451" s="110">
        <v>800</v>
      </c>
      <c r="P451" s="110">
        <v>920</v>
      </c>
      <c r="Q451" s="114" t="s">
        <v>458</v>
      </c>
    </row>
    <row r="452" spans="1:17">
      <c r="A452" s="97">
        <v>451</v>
      </c>
      <c r="B452" s="101" t="s">
        <v>212</v>
      </c>
      <c r="C452" s="101">
        <v>46148</v>
      </c>
      <c r="D452" s="101">
        <v>46189</v>
      </c>
      <c r="E452" s="113">
        <v>3986</v>
      </c>
      <c r="F452" s="98" t="s">
        <v>468</v>
      </c>
      <c r="G452" s="99" t="s">
        <v>144</v>
      </c>
      <c r="H452" s="100" t="s">
        <v>465</v>
      </c>
      <c r="I452" s="104" t="s">
        <v>469</v>
      </c>
      <c r="J452" s="102" t="s">
        <v>146</v>
      </c>
      <c r="K452" s="103">
        <v>14</v>
      </c>
      <c r="L452" s="104" t="s">
        <v>110</v>
      </c>
      <c r="M452" s="104" t="s">
        <v>147</v>
      </c>
      <c r="N452" s="104" t="s">
        <v>211</v>
      </c>
      <c r="O452" s="110">
        <v>800</v>
      </c>
      <c r="P452" s="110">
        <v>920</v>
      </c>
      <c r="Q452" s="114" t="s">
        <v>458</v>
      </c>
    </row>
    <row r="453" spans="1:17">
      <c r="A453" s="97">
        <v>452</v>
      </c>
      <c r="B453" s="101" t="s">
        <v>212</v>
      </c>
      <c r="C453" s="101">
        <v>46148</v>
      </c>
      <c r="D453" s="101">
        <v>46189</v>
      </c>
      <c r="E453" s="113">
        <v>3984</v>
      </c>
      <c r="F453" s="98" t="s">
        <v>226</v>
      </c>
      <c r="G453" s="99" t="s">
        <v>144</v>
      </c>
      <c r="H453" s="100" t="s">
        <v>200</v>
      </c>
      <c r="I453" s="104" t="s">
        <v>470</v>
      </c>
      <c r="J453" s="102" t="s">
        <v>146</v>
      </c>
      <c r="K453" s="103">
        <v>14</v>
      </c>
      <c r="L453" s="104" t="s">
        <v>110</v>
      </c>
      <c r="M453" s="104" t="s">
        <v>147</v>
      </c>
      <c r="N453" s="104" t="s">
        <v>211</v>
      </c>
      <c r="O453" s="110">
        <v>800</v>
      </c>
      <c r="P453" s="110">
        <v>920</v>
      </c>
      <c r="Q453" s="114" t="s">
        <v>458</v>
      </c>
    </row>
    <row r="454" spans="1:17">
      <c r="A454" s="97">
        <v>453</v>
      </c>
      <c r="B454" s="101" t="s">
        <v>212</v>
      </c>
      <c r="C454" s="101">
        <v>46148</v>
      </c>
      <c r="D454" s="101">
        <v>46189</v>
      </c>
      <c r="E454" s="113">
        <v>3982</v>
      </c>
      <c r="F454" s="98" t="s">
        <v>376</v>
      </c>
      <c r="G454" s="99" t="s">
        <v>144</v>
      </c>
      <c r="H454" s="100" t="s">
        <v>303</v>
      </c>
      <c r="I454" s="104" t="s">
        <v>339</v>
      </c>
      <c r="J454" s="102" t="s">
        <v>146</v>
      </c>
      <c r="K454" s="103">
        <v>14</v>
      </c>
      <c r="L454" s="104" t="s">
        <v>110</v>
      </c>
      <c r="M454" s="104" t="s">
        <v>147</v>
      </c>
      <c r="N454" s="104" t="s">
        <v>211</v>
      </c>
      <c r="O454" s="110">
        <v>800</v>
      </c>
      <c r="P454" s="110">
        <v>920</v>
      </c>
      <c r="Q454" s="114" t="s">
        <v>458</v>
      </c>
    </row>
    <row r="455" spans="1:17">
      <c r="A455" s="97">
        <v>454</v>
      </c>
      <c r="B455" s="101" t="s">
        <v>212</v>
      </c>
      <c r="C455" s="101">
        <v>46148</v>
      </c>
      <c r="D455" s="101">
        <v>46189</v>
      </c>
      <c r="E455" s="113">
        <v>3979</v>
      </c>
      <c r="F455" s="98" t="s">
        <v>244</v>
      </c>
      <c r="G455" s="99" t="s">
        <v>144</v>
      </c>
      <c r="H455" s="100" t="s">
        <v>248</v>
      </c>
      <c r="I455" s="104" t="s">
        <v>267</v>
      </c>
      <c r="J455" s="102" t="s">
        <v>146</v>
      </c>
      <c r="K455" s="103">
        <v>14</v>
      </c>
      <c r="L455" s="104" t="s">
        <v>110</v>
      </c>
      <c r="M455" s="104" t="s">
        <v>147</v>
      </c>
      <c r="N455" s="104" t="s">
        <v>211</v>
      </c>
      <c r="O455" s="110">
        <v>800</v>
      </c>
      <c r="P455" s="110">
        <v>920</v>
      </c>
      <c r="Q455" s="114" t="s">
        <v>458</v>
      </c>
    </row>
    <row r="456" spans="1:17">
      <c r="A456" s="97">
        <v>455</v>
      </c>
      <c r="B456" s="101" t="s">
        <v>212</v>
      </c>
      <c r="C456" s="101">
        <v>46148</v>
      </c>
      <c r="D456" s="101">
        <v>46189</v>
      </c>
      <c r="E456" s="113">
        <v>3976</v>
      </c>
      <c r="F456" s="98" t="s">
        <v>320</v>
      </c>
      <c r="G456" s="99" t="s">
        <v>144</v>
      </c>
      <c r="H456" s="100" t="s">
        <v>305</v>
      </c>
      <c r="I456" s="104" t="s">
        <v>215</v>
      </c>
      <c r="J456" s="102" t="s">
        <v>146</v>
      </c>
      <c r="K456" s="103">
        <v>7</v>
      </c>
      <c r="L456" s="104" t="s">
        <v>110</v>
      </c>
      <c r="M456" s="104" t="s">
        <v>147</v>
      </c>
      <c r="N456" s="104" t="s">
        <v>211</v>
      </c>
      <c r="O456" s="110">
        <v>800</v>
      </c>
      <c r="P456" s="110">
        <v>920</v>
      </c>
      <c r="Q456" s="114" t="s">
        <v>458</v>
      </c>
    </row>
    <row r="457" spans="1:17">
      <c r="A457" s="97">
        <v>456</v>
      </c>
      <c r="B457" s="101" t="s">
        <v>212</v>
      </c>
      <c r="C457" s="101">
        <v>46148</v>
      </c>
      <c r="D457" s="101">
        <v>46189</v>
      </c>
      <c r="E457" s="113">
        <v>3973</v>
      </c>
      <c r="F457" s="98" t="s">
        <v>221</v>
      </c>
      <c r="G457" s="99" t="s">
        <v>144</v>
      </c>
      <c r="H457" s="100" t="s">
        <v>196</v>
      </c>
      <c r="I457" s="104" t="s">
        <v>203</v>
      </c>
      <c r="J457" s="102" t="s">
        <v>146</v>
      </c>
      <c r="K457" s="103">
        <v>7</v>
      </c>
      <c r="L457" s="104" t="s">
        <v>110</v>
      </c>
      <c r="M457" s="104" t="s">
        <v>147</v>
      </c>
      <c r="N457" s="104" t="s">
        <v>211</v>
      </c>
      <c r="O457" s="110">
        <v>800</v>
      </c>
      <c r="P457" s="110">
        <v>920</v>
      </c>
      <c r="Q457" s="114" t="s">
        <v>458</v>
      </c>
    </row>
    <row r="458" spans="1:17">
      <c r="A458" s="97">
        <v>457</v>
      </c>
      <c r="B458" s="101" t="s">
        <v>212</v>
      </c>
      <c r="C458" s="101">
        <v>46148</v>
      </c>
      <c r="D458" s="101">
        <v>46189</v>
      </c>
      <c r="E458" s="113">
        <v>3985</v>
      </c>
      <c r="F458" s="98" t="s">
        <v>226</v>
      </c>
      <c r="G458" s="99" t="s">
        <v>144</v>
      </c>
      <c r="H458" s="100" t="s">
        <v>200</v>
      </c>
      <c r="I458" s="104" t="s">
        <v>470</v>
      </c>
      <c r="J458" s="102" t="s">
        <v>146</v>
      </c>
      <c r="K458" s="103">
        <v>14</v>
      </c>
      <c r="L458" s="104" t="s">
        <v>110</v>
      </c>
      <c r="M458" s="104" t="s">
        <v>147</v>
      </c>
      <c r="N458" s="104" t="s">
        <v>211</v>
      </c>
      <c r="O458" s="110">
        <v>800</v>
      </c>
      <c r="P458" s="110">
        <v>920</v>
      </c>
      <c r="Q458" s="114" t="s">
        <v>458</v>
      </c>
    </row>
    <row r="459" spans="1:17">
      <c r="A459" s="97">
        <v>458</v>
      </c>
      <c r="B459" s="101" t="s">
        <v>212</v>
      </c>
      <c r="C459" s="101">
        <v>46148</v>
      </c>
      <c r="D459" s="101">
        <v>46189</v>
      </c>
      <c r="E459" s="113">
        <v>3980</v>
      </c>
      <c r="F459" s="98" t="s">
        <v>244</v>
      </c>
      <c r="G459" s="99" t="s">
        <v>144</v>
      </c>
      <c r="H459" s="100" t="s">
        <v>248</v>
      </c>
      <c r="I459" s="104" t="s">
        <v>267</v>
      </c>
      <c r="J459" s="102" t="s">
        <v>146</v>
      </c>
      <c r="K459" s="103">
        <v>14</v>
      </c>
      <c r="L459" s="104" t="s">
        <v>110</v>
      </c>
      <c r="M459" s="104" t="s">
        <v>147</v>
      </c>
      <c r="N459" s="104" t="s">
        <v>211</v>
      </c>
      <c r="O459" s="110">
        <v>800</v>
      </c>
      <c r="P459" s="110">
        <v>920</v>
      </c>
      <c r="Q459" s="114" t="s">
        <v>458</v>
      </c>
    </row>
    <row r="460" spans="1:17">
      <c r="A460" s="97">
        <v>459</v>
      </c>
      <c r="B460" s="101" t="s">
        <v>182</v>
      </c>
      <c r="C460" s="101">
        <v>46148</v>
      </c>
      <c r="D460" s="101">
        <v>46189</v>
      </c>
      <c r="E460" s="113">
        <v>3970</v>
      </c>
      <c r="F460" s="98" t="s">
        <v>471</v>
      </c>
      <c r="G460" s="99" t="s">
        <v>144</v>
      </c>
      <c r="H460" s="100" t="s">
        <v>324</v>
      </c>
      <c r="I460" s="104" t="s">
        <v>327</v>
      </c>
      <c r="J460" s="102" t="s">
        <v>146</v>
      </c>
      <c r="K460" s="103">
        <v>14</v>
      </c>
      <c r="L460" s="104" t="s">
        <v>100</v>
      </c>
      <c r="M460" s="104" t="s">
        <v>147</v>
      </c>
      <c r="N460" s="104" t="s">
        <v>211</v>
      </c>
      <c r="O460" s="110">
        <v>750</v>
      </c>
      <c r="P460" s="110">
        <v>770</v>
      </c>
      <c r="Q460" s="114" t="s">
        <v>458</v>
      </c>
    </row>
    <row r="461" spans="1:17">
      <c r="A461" s="97">
        <v>460</v>
      </c>
      <c r="B461" s="101" t="s">
        <v>182</v>
      </c>
      <c r="C461" s="101">
        <v>46148</v>
      </c>
      <c r="D461" s="101">
        <v>46189</v>
      </c>
      <c r="E461" s="113">
        <v>3971</v>
      </c>
      <c r="F461" s="98" t="s">
        <v>472</v>
      </c>
      <c r="G461" s="99" t="s">
        <v>144</v>
      </c>
      <c r="H461" s="100" t="s">
        <v>465</v>
      </c>
      <c r="I461" s="104" t="s">
        <v>469</v>
      </c>
      <c r="J461" s="102" t="s">
        <v>146</v>
      </c>
      <c r="K461" s="103">
        <v>14</v>
      </c>
      <c r="L461" s="104" t="s">
        <v>100</v>
      </c>
      <c r="M461" s="104" t="s">
        <v>147</v>
      </c>
      <c r="N461" s="104" t="s">
        <v>211</v>
      </c>
      <c r="O461" s="110">
        <v>750</v>
      </c>
      <c r="P461" s="110">
        <v>770</v>
      </c>
      <c r="Q461" s="114" t="s">
        <v>458</v>
      </c>
    </row>
    <row r="462" spans="1:17">
      <c r="A462" s="97">
        <v>461</v>
      </c>
      <c r="B462" s="101" t="s">
        <v>182</v>
      </c>
      <c r="C462" s="101">
        <v>46148</v>
      </c>
      <c r="D462" s="101">
        <v>46189</v>
      </c>
      <c r="E462" s="113">
        <v>3972</v>
      </c>
      <c r="F462" s="98" t="s">
        <v>302</v>
      </c>
      <c r="G462" s="99" t="s">
        <v>144</v>
      </c>
      <c r="H462" s="100" t="s">
        <v>307</v>
      </c>
      <c r="I462" s="104" t="s">
        <v>473</v>
      </c>
      <c r="J462" s="102" t="s">
        <v>146</v>
      </c>
      <c r="K462" s="103">
        <v>14</v>
      </c>
      <c r="L462" s="104" t="s">
        <v>100</v>
      </c>
      <c r="M462" s="104" t="s">
        <v>147</v>
      </c>
      <c r="N462" s="104" t="s">
        <v>211</v>
      </c>
      <c r="O462" s="110">
        <v>750</v>
      </c>
      <c r="P462" s="110">
        <v>770</v>
      </c>
      <c r="Q462" s="114" t="s">
        <v>458</v>
      </c>
    </row>
    <row r="463" spans="1:17" ht="15" customHeight="1">
      <c r="A463" s="97">
        <v>462</v>
      </c>
      <c r="B463" s="101" t="s">
        <v>184</v>
      </c>
      <c r="C463" s="101">
        <v>46148</v>
      </c>
      <c r="D463" s="117">
        <v>46190</v>
      </c>
      <c r="E463" s="106">
        <v>153</v>
      </c>
      <c r="F463" s="98" t="s">
        <v>289</v>
      </c>
      <c r="G463" s="99" t="s">
        <v>144</v>
      </c>
      <c r="H463" s="100">
        <v>1</v>
      </c>
      <c r="I463" s="104" t="s">
        <v>178</v>
      </c>
      <c r="J463" s="102" t="s">
        <v>530</v>
      </c>
      <c r="K463" s="103">
        <v>30</v>
      </c>
      <c r="L463" s="104" t="s">
        <v>110</v>
      </c>
      <c r="M463" s="104" t="s">
        <v>139</v>
      </c>
      <c r="N463" s="104"/>
      <c r="O463" s="109"/>
      <c r="P463" s="109"/>
      <c r="Q463" s="105" t="s">
        <v>458</v>
      </c>
    </row>
    <row r="464" spans="1:17">
      <c r="A464" s="97">
        <v>463</v>
      </c>
      <c r="B464" s="101" t="s">
        <v>498</v>
      </c>
      <c r="C464" s="101">
        <v>46189</v>
      </c>
      <c r="D464" s="117">
        <v>46190</v>
      </c>
      <c r="E464" s="106">
        <v>8746</v>
      </c>
      <c r="F464" s="98" t="s">
        <v>189</v>
      </c>
      <c r="G464" s="99" t="s">
        <v>144</v>
      </c>
      <c r="H464" s="105">
        <v>33</v>
      </c>
      <c r="I464" s="107" t="s">
        <v>194</v>
      </c>
      <c r="J464" s="102" t="s">
        <v>180</v>
      </c>
      <c r="K464" s="103">
        <v>30</v>
      </c>
      <c r="L464" s="104" t="s">
        <v>100</v>
      </c>
      <c r="M464" s="104" t="s">
        <v>139</v>
      </c>
      <c r="N464" s="104"/>
      <c r="O464" s="109"/>
      <c r="P464" s="109"/>
      <c r="Q464" s="114" t="s">
        <v>458</v>
      </c>
    </row>
    <row r="465" spans="1:17">
      <c r="A465" s="97">
        <v>464</v>
      </c>
      <c r="B465" s="101" t="s">
        <v>498</v>
      </c>
      <c r="C465" s="101">
        <v>46189</v>
      </c>
      <c r="D465" s="117">
        <v>46190</v>
      </c>
      <c r="E465" s="106">
        <v>8741</v>
      </c>
      <c r="F465" s="98" t="s">
        <v>170</v>
      </c>
      <c r="G465" s="99" t="s">
        <v>144</v>
      </c>
      <c r="H465" s="105">
        <v>5</v>
      </c>
      <c r="I465" s="107" t="s">
        <v>172</v>
      </c>
      <c r="J465" s="102" t="s">
        <v>180</v>
      </c>
      <c r="K465" s="103">
        <v>30</v>
      </c>
      <c r="L465" s="104" t="s">
        <v>100</v>
      </c>
      <c r="M465" s="104" t="s">
        <v>139</v>
      </c>
      <c r="N465" s="104"/>
      <c r="O465" s="109"/>
      <c r="P465" s="109"/>
      <c r="Q465" s="114" t="s">
        <v>458</v>
      </c>
    </row>
    <row r="466" spans="1:17">
      <c r="A466" s="97">
        <v>465</v>
      </c>
      <c r="B466" s="101" t="s">
        <v>498</v>
      </c>
      <c r="C466" s="101">
        <v>46189</v>
      </c>
      <c r="D466" s="117">
        <v>46190</v>
      </c>
      <c r="E466" s="106">
        <v>8740</v>
      </c>
      <c r="F466" s="98" t="s">
        <v>190</v>
      </c>
      <c r="G466" s="99" t="s">
        <v>144</v>
      </c>
      <c r="H466" s="105">
        <v>1</v>
      </c>
      <c r="I466" s="107" t="s">
        <v>506</v>
      </c>
      <c r="J466" s="102" t="s">
        <v>180</v>
      </c>
      <c r="K466" s="103">
        <v>30</v>
      </c>
      <c r="L466" s="104" t="s">
        <v>100</v>
      </c>
      <c r="M466" s="104" t="s">
        <v>139</v>
      </c>
      <c r="N466" s="104"/>
      <c r="O466" s="109"/>
      <c r="P466" s="109"/>
      <c r="Q466" s="114" t="s">
        <v>458</v>
      </c>
    </row>
    <row r="467" spans="1:17">
      <c r="A467" s="97">
        <v>466</v>
      </c>
      <c r="B467" s="101" t="s">
        <v>212</v>
      </c>
      <c r="C467" s="101">
        <v>46148</v>
      </c>
      <c r="D467" s="101">
        <v>46190</v>
      </c>
      <c r="E467" s="113">
        <v>3978</v>
      </c>
      <c r="F467" s="98" t="s">
        <v>320</v>
      </c>
      <c r="G467" s="99" t="s">
        <v>144</v>
      </c>
      <c r="H467" s="100" t="s">
        <v>248</v>
      </c>
      <c r="I467" s="104" t="s">
        <v>215</v>
      </c>
      <c r="J467" s="102" t="s">
        <v>146</v>
      </c>
      <c r="K467" s="103">
        <v>7</v>
      </c>
      <c r="L467" s="104" t="s">
        <v>110</v>
      </c>
      <c r="M467" s="104" t="s">
        <v>147</v>
      </c>
      <c r="N467" s="104" t="s">
        <v>211</v>
      </c>
      <c r="O467" s="110">
        <v>800</v>
      </c>
      <c r="P467" s="110">
        <v>920</v>
      </c>
      <c r="Q467" s="114" t="s">
        <v>458</v>
      </c>
    </row>
    <row r="468" spans="1:17">
      <c r="A468" s="97">
        <v>467</v>
      </c>
      <c r="B468" s="101" t="s">
        <v>212</v>
      </c>
      <c r="C468" s="101">
        <v>46148</v>
      </c>
      <c r="D468" s="101">
        <v>46190</v>
      </c>
      <c r="E468" s="113">
        <v>3991</v>
      </c>
      <c r="F468" s="98" t="s">
        <v>284</v>
      </c>
      <c r="G468" s="99" t="s">
        <v>144</v>
      </c>
      <c r="H468" s="100" t="s">
        <v>248</v>
      </c>
      <c r="I468" s="104" t="s">
        <v>272</v>
      </c>
      <c r="J468" s="102" t="s">
        <v>146</v>
      </c>
      <c r="K468" s="103">
        <v>14</v>
      </c>
      <c r="L468" s="104" t="s">
        <v>110</v>
      </c>
      <c r="M468" s="104" t="s">
        <v>147</v>
      </c>
      <c r="N468" s="104" t="s">
        <v>211</v>
      </c>
      <c r="O468" s="110">
        <v>800</v>
      </c>
      <c r="P468" s="110">
        <v>920</v>
      </c>
      <c r="Q468" s="114" t="s">
        <v>458</v>
      </c>
    </row>
    <row r="469" spans="1:17">
      <c r="A469" s="97">
        <v>468</v>
      </c>
      <c r="B469" s="101" t="s">
        <v>212</v>
      </c>
      <c r="C469" s="101">
        <v>46148</v>
      </c>
      <c r="D469" s="101">
        <v>46190</v>
      </c>
      <c r="E469" s="113">
        <v>3994</v>
      </c>
      <c r="F469" s="98" t="s">
        <v>474</v>
      </c>
      <c r="G469" s="99" t="s">
        <v>144</v>
      </c>
      <c r="H469" s="100" t="s">
        <v>248</v>
      </c>
      <c r="I469" s="104" t="s">
        <v>466</v>
      </c>
      <c r="J469" s="102" t="s">
        <v>146</v>
      </c>
      <c r="K469" s="103">
        <v>14</v>
      </c>
      <c r="L469" s="104" t="s">
        <v>110</v>
      </c>
      <c r="M469" s="104" t="s">
        <v>147</v>
      </c>
      <c r="N469" s="104" t="s">
        <v>211</v>
      </c>
      <c r="O469" s="110">
        <v>800</v>
      </c>
      <c r="P469" s="110">
        <v>920</v>
      </c>
      <c r="Q469" s="114" t="s">
        <v>458</v>
      </c>
    </row>
    <row r="470" spans="1:17">
      <c r="A470" s="97">
        <v>469</v>
      </c>
      <c r="B470" s="101" t="s">
        <v>212</v>
      </c>
      <c r="C470" s="101">
        <v>46148</v>
      </c>
      <c r="D470" s="101">
        <v>46190</v>
      </c>
      <c r="E470" s="113">
        <v>3998</v>
      </c>
      <c r="F470" s="98" t="s">
        <v>374</v>
      </c>
      <c r="G470" s="99" t="s">
        <v>144</v>
      </c>
      <c r="H470" s="100" t="s">
        <v>248</v>
      </c>
      <c r="I470" s="104" t="s">
        <v>382</v>
      </c>
      <c r="J470" s="102" t="s">
        <v>146</v>
      </c>
      <c r="K470" s="103">
        <v>14</v>
      </c>
      <c r="L470" s="104" t="s">
        <v>110</v>
      </c>
      <c r="M470" s="104" t="s">
        <v>147</v>
      </c>
      <c r="N470" s="104" t="s">
        <v>211</v>
      </c>
      <c r="O470" s="110">
        <v>800</v>
      </c>
      <c r="P470" s="110">
        <v>920</v>
      </c>
      <c r="Q470" s="114" t="s">
        <v>458</v>
      </c>
    </row>
    <row r="471" spans="1:17">
      <c r="A471" s="97">
        <v>470</v>
      </c>
      <c r="B471" s="101" t="s">
        <v>212</v>
      </c>
      <c r="C471" s="101">
        <v>46148</v>
      </c>
      <c r="D471" s="101">
        <v>46190</v>
      </c>
      <c r="E471" s="113">
        <v>4002</v>
      </c>
      <c r="F471" s="98" t="s">
        <v>298</v>
      </c>
      <c r="G471" s="99" t="s">
        <v>144</v>
      </c>
      <c r="H471" s="100" t="s">
        <v>248</v>
      </c>
      <c r="I471" s="104" t="s">
        <v>477</v>
      </c>
      <c r="J471" s="102" t="s">
        <v>146</v>
      </c>
      <c r="K471" s="103">
        <v>7</v>
      </c>
      <c r="L471" s="104" t="s">
        <v>110</v>
      </c>
      <c r="M471" s="104" t="s">
        <v>147</v>
      </c>
      <c r="N471" s="104" t="s">
        <v>211</v>
      </c>
      <c r="O471" s="110">
        <v>800</v>
      </c>
      <c r="P471" s="110">
        <v>920</v>
      </c>
      <c r="Q471" s="114" t="s">
        <v>458</v>
      </c>
    </row>
    <row r="472" spans="1:17">
      <c r="A472" s="97">
        <v>471</v>
      </c>
      <c r="B472" s="101" t="s">
        <v>212</v>
      </c>
      <c r="C472" s="101">
        <v>46148</v>
      </c>
      <c r="D472" s="101">
        <v>46190</v>
      </c>
      <c r="E472" s="113">
        <v>4012</v>
      </c>
      <c r="F472" s="98" t="s">
        <v>475</v>
      </c>
      <c r="G472" s="99" t="s">
        <v>144</v>
      </c>
      <c r="H472" s="100" t="s">
        <v>248</v>
      </c>
      <c r="I472" s="104" t="s">
        <v>383</v>
      </c>
      <c r="J472" s="102" t="s">
        <v>146</v>
      </c>
      <c r="K472" s="103">
        <v>7</v>
      </c>
      <c r="L472" s="104" t="s">
        <v>110</v>
      </c>
      <c r="M472" s="104" t="s">
        <v>147</v>
      </c>
      <c r="N472" s="104" t="s">
        <v>211</v>
      </c>
      <c r="O472" s="110">
        <v>800</v>
      </c>
      <c r="P472" s="110">
        <v>920</v>
      </c>
      <c r="Q472" s="114" t="s">
        <v>458</v>
      </c>
    </row>
    <row r="473" spans="1:17">
      <c r="A473" s="97">
        <v>472</v>
      </c>
      <c r="B473" s="101" t="s">
        <v>212</v>
      </c>
      <c r="C473" s="101">
        <v>46148</v>
      </c>
      <c r="D473" s="101">
        <v>46190</v>
      </c>
      <c r="E473" s="113">
        <v>4006</v>
      </c>
      <c r="F473" s="98" t="s">
        <v>225</v>
      </c>
      <c r="G473" s="99" t="s">
        <v>144</v>
      </c>
      <c r="H473" s="100" t="s">
        <v>248</v>
      </c>
      <c r="I473" s="104" t="s">
        <v>186</v>
      </c>
      <c r="J473" s="102" t="s">
        <v>146</v>
      </c>
      <c r="K473" s="103">
        <v>14</v>
      </c>
      <c r="L473" s="104" t="s">
        <v>110</v>
      </c>
      <c r="M473" s="104" t="s">
        <v>147</v>
      </c>
      <c r="N473" s="104" t="s">
        <v>211</v>
      </c>
      <c r="O473" s="110">
        <v>800</v>
      </c>
      <c r="P473" s="110">
        <v>920</v>
      </c>
      <c r="Q473" s="114" t="s">
        <v>458</v>
      </c>
    </row>
    <row r="474" spans="1:17">
      <c r="A474" s="97">
        <v>473</v>
      </c>
      <c r="B474" s="101" t="s">
        <v>212</v>
      </c>
      <c r="C474" s="101">
        <v>46148</v>
      </c>
      <c r="D474" s="101">
        <v>46190</v>
      </c>
      <c r="E474" s="111">
        <v>4010</v>
      </c>
      <c r="F474" s="98" t="s">
        <v>376</v>
      </c>
      <c r="G474" s="99" t="s">
        <v>144</v>
      </c>
      <c r="H474" s="100" t="s">
        <v>248</v>
      </c>
      <c r="I474" s="104" t="s">
        <v>339</v>
      </c>
      <c r="J474" s="102" t="s">
        <v>146</v>
      </c>
      <c r="K474" s="103">
        <v>14</v>
      </c>
      <c r="L474" s="104" t="s">
        <v>110</v>
      </c>
      <c r="M474" s="104" t="s">
        <v>147</v>
      </c>
      <c r="N474" s="104" t="s">
        <v>211</v>
      </c>
      <c r="O474" s="110">
        <v>800</v>
      </c>
      <c r="P474" s="110">
        <v>920</v>
      </c>
      <c r="Q474" s="114" t="s">
        <v>458</v>
      </c>
    </row>
    <row r="475" spans="1:17">
      <c r="A475" s="97">
        <v>474</v>
      </c>
      <c r="B475" s="101" t="s">
        <v>212</v>
      </c>
      <c r="C475" s="101">
        <v>46148</v>
      </c>
      <c r="D475" s="101">
        <v>46190</v>
      </c>
      <c r="E475" s="113">
        <v>4016</v>
      </c>
      <c r="F475" s="98" t="s">
        <v>228</v>
      </c>
      <c r="G475" s="99" t="s">
        <v>144</v>
      </c>
      <c r="H475" s="100" t="s">
        <v>248</v>
      </c>
      <c r="I475" s="104" t="s">
        <v>369</v>
      </c>
      <c r="J475" s="102" t="s">
        <v>146</v>
      </c>
      <c r="K475" s="103">
        <v>14</v>
      </c>
      <c r="L475" s="104" t="s">
        <v>110</v>
      </c>
      <c r="M475" s="104" t="s">
        <v>147</v>
      </c>
      <c r="N475" s="104" t="s">
        <v>211</v>
      </c>
      <c r="O475" s="110">
        <v>800</v>
      </c>
      <c r="P475" s="110">
        <v>920</v>
      </c>
      <c r="Q475" s="114" t="s">
        <v>458</v>
      </c>
    </row>
    <row r="476" spans="1:17">
      <c r="A476" s="97">
        <v>475</v>
      </c>
      <c r="B476" s="101" t="s">
        <v>212</v>
      </c>
      <c r="C476" s="101">
        <v>46148</v>
      </c>
      <c r="D476" s="101">
        <v>46190</v>
      </c>
      <c r="E476" s="113">
        <v>4018</v>
      </c>
      <c r="F476" s="98" t="s">
        <v>476</v>
      </c>
      <c r="G476" s="99" t="s">
        <v>144</v>
      </c>
      <c r="H476" s="100" t="s">
        <v>248</v>
      </c>
      <c r="I476" s="104" t="s">
        <v>204</v>
      </c>
      <c r="J476" s="102" t="s">
        <v>146</v>
      </c>
      <c r="K476" s="103">
        <v>7</v>
      </c>
      <c r="L476" s="104" t="s">
        <v>110</v>
      </c>
      <c r="M476" s="104" t="s">
        <v>147</v>
      </c>
      <c r="N476" s="104" t="s">
        <v>211</v>
      </c>
      <c r="O476" s="110">
        <v>800</v>
      </c>
      <c r="P476" s="110">
        <v>920</v>
      </c>
      <c r="Q476" s="114" t="s">
        <v>458</v>
      </c>
    </row>
    <row r="477" spans="1:17">
      <c r="A477" s="97">
        <v>476</v>
      </c>
      <c r="B477" s="101" t="s">
        <v>212</v>
      </c>
      <c r="C477" s="101">
        <v>46148</v>
      </c>
      <c r="D477" s="101">
        <v>46190</v>
      </c>
      <c r="E477" s="113">
        <v>4022</v>
      </c>
      <c r="F477" s="98" t="s">
        <v>321</v>
      </c>
      <c r="G477" s="99" t="s">
        <v>144</v>
      </c>
      <c r="H477" s="100" t="s">
        <v>248</v>
      </c>
      <c r="I477" s="104" t="s">
        <v>325</v>
      </c>
      <c r="J477" s="102" t="s">
        <v>146</v>
      </c>
      <c r="K477" s="103">
        <v>14</v>
      </c>
      <c r="L477" s="104" t="s">
        <v>110</v>
      </c>
      <c r="M477" s="104" t="s">
        <v>147</v>
      </c>
      <c r="N477" s="104" t="s">
        <v>211</v>
      </c>
      <c r="O477" s="110">
        <v>800</v>
      </c>
      <c r="P477" s="110">
        <v>920</v>
      </c>
      <c r="Q477" s="114" t="s">
        <v>458</v>
      </c>
    </row>
    <row r="478" spans="1:17">
      <c r="A478" s="97">
        <v>477</v>
      </c>
      <c r="B478" s="101" t="s">
        <v>212</v>
      </c>
      <c r="C478" s="101">
        <v>46148</v>
      </c>
      <c r="D478" s="101">
        <v>46190</v>
      </c>
      <c r="E478" s="113">
        <v>3975</v>
      </c>
      <c r="F478" s="98" t="s">
        <v>221</v>
      </c>
      <c r="G478" s="99" t="s">
        <v>144</v>
      </c>
      <c r="H478" s="100" t="s">
        <v>248</v>
      </c>
      <c r="I478" s="104" t="s">
        <v>203</v>
      </c>
      <c r="J478" s="102" t="s">
        <v>146</v>
      </c>
      <c r="K478" s="103">
        <v>7</v>
      </c>
      <c r="L478" s="104" t="s">
        <v>110</v>
      </c>
      <c r="M478" s="104" t="s">
        <v>147</v>
      </c>
      <c r="N478" s="104" t="s">
        <v>211</v>
      </c>
      <c r="O478" s="110">
        <v>800</v>
      </c>
      <c r="P478" s="110">
        <v>920</v>
      </c>
      <c r="Q478" s="114" t="s">
        <v>458</v>
      </c>
    </row>
    <row r="479" spans="1:17">
      <c r="A479" s="97">
        <v>478</v>
      </c>
      <c r="B479" s="101" t="s">
        <v>212</v>
      </c>
      <c r="C479" s="101">
        <v>46148</v>
      </c>
      <c r="D479" s="101">
        <v>46190</v>
      </c>
      <c r="E479" s="113">
        <v>4025</v>
      </c>
      <c r="F479" s="98" t="s">
        <v>226</v>
      </c>
      <c r="G479" s="99" t="s">
        <v>144</v>
      </c>
      <c r="H479" s="100" t="s">
        <v>248</v>
      </c>
      <c r="I479" s="104" t="s">
        <v>470</v>
      </c>
      <c r="J479" s="102" t="s">
        <v>146</v>
      </c>
      <c r="K479" s="103">
        <v>14</v>
      </c>
      <c r="L479" s="104" t="s">
        <v>110</v>
      </c>
      <c r="M479" s="104" t="s">
        <v>147</v>
      </c>
      <c r="N479" s="104" t="s">
        <v>211</v>
      </c>
      <c r="O479" s="110">
        <v>800</v>
      </c>
      <c r="P479" s="110">
        <v>920</v>
      </c>
      <c r="Q479" s="114" t="s">
        <v>458</v>
      </c>
    </row>
    <row r="480" spans="1:17">
      <c r="A480" s="97">
        <v>479</v>
      </c>
      <c r="B480" s="101" t="s">
        <v>212</v>
      </c>
      <c r="C480" s="101">
        <v>46148</v>
      </c>
      <c r="D480" s="101">
        <v>46190</v>
      </c>
      <c r="E480" s="113">
        <v>3992</v>
      </c>
      <c r="F480" s="98" t="s">
        <v>284</v>
      </c>
      <c r="G480" s="99" t="s">
        <v>144</v>
      </c>
      <c r="H480" s="100" t="s">
        <v>248</v>
      </c>
      <c r="I480" s="104" t="s">
        <v>272</v>
      </c>
      <c r="J480" s="102" t="s">
        <v>146</v>
      </c>
      <c r="K480" s="103">
        <v>14</v>
      </c>
      <c r="L480" s="104" t="s">
        <v>110</v>
      </c>
      <c r="M480" s="104" t="s">
        <v>147</v>
      </c>
      <c r="N480" s="104" t="s">
        <v>211</v>
      </c>
      <c r="O480" s="110">
        <v>800</v>
      </c>
      <c r="P480" s="110">
        <v>920</v>
      </c>
      <c r="Q480" s="114" t="s">
        <v>458</v>
      </c>
    </row>
    <row r="481" spans="1:17">
      <c r="A481" s="97">
        <v>480</v>
      </c>
      <c r="B481" s="101" t="s">
        <v>212</v>
      </c>
      <c r="C481" s="101">
        <v>46148</v>
      </c>
      <c r="D481" s="101">
        <v>46190</v>
      </c>
      <c r="E481" s="113">
        <v>3995</v>
      </c>
      <c r="F481" s="98" t="s">
        <v>474</v>
      </c>
      <c r="G481" s="99" t="s">
        <v>144</v>
      </c>
      <c r="H481" s="100" t="s">
        <v>248</v>
      </c>
      <c r="I481" s="104" t="s">
        <v>466</v>
      </c>
      <c r="J481" s="102" t="s">
        <v>146</v>
      </c>
      <c r="K481" s="103">
        <v>14</v>
      </c>
      <c r="L481" s="104" t="s">
        <v>110</v>
      </c>
      <c r="M481" s="104" t="s">
        <v>147</v>
      </c>
      <c r="N481" s="104" t="s">
        <v>211</v>
      </c>
      <c r="O481" s="110">
        <v>800</v>
      </c>
      <c r="P481" s="110">
        <v>920</v>
      </c>
      <c r="Q481" s="114" t="s">
        <v>458</v>
      </c>
    </row>
    <row r="482" spans="1:17">
      <c r="A482" s="97">
        <v>481</v>
      </c>
      <c r="B482" s="101" t="s">
        <v>212</v>
      </c>
      <c r="C482" s="101">
        <v>46148</v>
      </c>
      <c r="D482" s="101">
        <v>46190</v>
      </c>
      <c r="E482" s="113">
        <v>4013</v>
      </c>
      <c r="F482" s="98" t="s">
        <v>227</v>
      </c>
      <c r="G482" s="99" t="s">
        <v>144</v>
      </c>
      <c r="H482" s="100" t="s">
        <v>248</v>
      </c>
      <c r="I482" s="104" t="s">
        <v>383</v>
      </c>
      <c r="J482" s="102" t="s">
        <v>146</v>
      </c>
      <c r="K482" s="103">
        <v>7</v>
      </c>
      <c r="L482" s="104" t="s">
        <v>110</v>
      </c>
      <c r="M482" s="104" t="s">
        <v>147</v>
      </c>
      <c r="N482" s="104" t="s">
        <v>211</v>
      </c>
      <c r="O482" s="110">
        <v>800</v>
      </c>
      <c r="P482" s="110">
        <v>920</v>
      </c>
      <c r="Q482" s="114" t="s">
        <v>458</v>
      </c>
    </row>
    <row r="483" spans="1:17">
      <c r="A483" s="97">
        <v>482</v>
      </c>
      <c r="B483" s="101" t="s">
        <v>212</v>
      </c>
      <c r="C483" s="101">
        <v>46148</v>
      </c>
      <c r="D483" s="101">
        <v>46190</v>
      </c>
      <c r="E483" s="113">
        <v>4001</v>
      </c>
      <c r="F483" s="98" t="s">
        <v>374</v>
      </c>
      <c r="G483" s="99" t="s">
        <v>144</v>
      </c>
      <c r="H483" s="100" t="s">
        <v>248</v>
      </c>
      <c r="I483" s="104" t="s">
        <v>382</v>
      </c>
      <c r="J483" s="102" t="s">
        <v>146</v>
      </c>
      <c r="K483" s="103">
        <v>14</v>
      </c>
      <c r="L483" s="104" t="s">
        <v>110</v>
      </c>
      <c r="M483" s="104" t="s">
        <v>147</v>
      </c>
      <c r="N483" s="104" t="s">
        <v>211</v>
      </c>
      <c r="O483" s="110">
        <v>800</v>
      </c>
      <c r="P483" s="110">
        <v>920</v>
      </c>
      <c r="Q483" s="114" t="s">
        <v>458</v>
      </c>
    </row>
    <row r="484" spans="1:17">
      <c r="A484" s="97">
        <v>483</v>
      </c>
      <c r="B484" s="101" t="s">
        <v>212</v>
      </c>
      <c r="C484" s="101">
        <v>46148</v>
      </c>
      <c r="D484" s="101">
        <v>46190</v>
      </c>
      <c r="E484" s="113">
        <v>4003</v>
      </c>
      <c r="F484" s="98" t="s">
        <v>298</v>
      </c>
      <c r="G484" s="99" t="s">
        <v>144</v>
      </c>
      <c r="H484" s="100" t="s">
        <v>248</v>
      </c>
      <c r="I484" s="104" t="s">
        <v>477</v>
      </c>
      <c r="J484" s="102" t="s">
        <v>146</v>
      </c>
      <c r="K484" s="103">
        <v>7</v>
      </c>
      <c r="L484" s="104" t="s">
        <v>110</v>
      </c>
      <c r="M484" s="104" t="s">
        <v>147</v>
      </c>
      <c r="N484" s="104" t="s">
        <v>211</v>
      </c>
      <c r="O484" s="110">
        <v>800</v>
      </c>
      <c r="P484" s="110">
        <v>920</v>
      </c>
      <c r="Q484" s="114" t="s">
        <v>458</v>
      </c>
    </row>
    <row r="485" spans="1:17">
      <c r="A485" s="97">
        <v>484</v>
      </c>
      <c r="B485" s="101" t="s">
        <v>212</v>
      </c>
      <c r="C485" s="101">
        <v>46148</v>
      </c>
      <c r="D485" s="101">
        <v>46190</v>
      </c>
      <c r="E485" s="113">
        <v>4028</v>
      </c>
      <c r="F485" s="98" t="s">
        <v>320</v>
      </c>
      <c r="G485" s="99" t="s">
        <v>144</v>
      </c>
      <c r="H485" s="100" t="s">
        <v>248</v>
      </c>
      <c r="I485" s="104" t="s">
        <v>215</v>
      </c>
      <c r="J485" s="102" t="s">
        <v>146</v>
      </c>
      <c r="K485" s="103">
        <v>7</v>
      </c>
      <c r="L485" s="104" t="s">
        <v>110</v>
      </c>
      <c r="M485" s="104" t="s">
        <v>147</v>
      </c>
      <c r="N485" s="104" t="s">
        <v>211</v>
      </c>
      <c r="O485" s="110">
        <v>800</v>
      </c>
      <c r="P485" s="110">
        <v>920</v>
      </c>
      <c r="Q485" s="114" t="s">
        <v>458</v>
      </c>
    </row>
    <row r="486" spans="1:17">
      <c r="A486" s="97">
        <v>485</v>
      </c>
      <c r="B486" s="101" t="s">
        <v>212</v>
      </c>
      <c r="C486" s="101">
        <v>46148</v>
      </c>
      <c r="D486" s="101">
        <v>46190</v>
      </c>
      <c r="E486" s="113">
        <v>4007</v>
      </c>
      <c r="F486" s="98" t="s">
        <v>225</v>
      </c>
      <c r="G486" s="99" t="s">
        <v>144</v>
      </c>
      <c r="H486" s="100" t="s">
        <v>248</v>
      </c>
      <c r="I486" s="104" t="s">
        <v>186</v>
      </c>
      <c r="J486" s="102" t="s">
        <v>146</v>
      </c>
      <c r="K486" s="103">
        <v>14</v>
      </c>
      <c r="L486" s="104" t="s">
        <v>110</v>
      </c>
      <c r="M486" s="104" t="s">
        <v>147</v>
      </c>
      <c r="N486" s="104" t="s">
        <v>211</v>
      </c>
      <c r="O486" s="110">
        <v>800</v>
      </c>
      <c r="P486" s="110">
        <v>920</v>
      </c>
      <c r="Q486" s="114" t="s">
        <v>458</v>
      </c>
    </row>
    <row r="487" spans="1:17">
      <c r="A487" s="97">
        <v>486</v>
      </c>
      <c r="B487" s="101" t="s">
        <v>212</v>
      </c>
      <c r="C487" s="101">
        <v>46148</v>
      </c>
      <c r="D487" s="101">
        <v>46190</v>
      </c>
      <c r="E487" s="113">
        <v>4011</v>
      </c>
      <c r="F487" s="98" t="s">
        <v>376</v>
      </c>
      <c r="G487" s="99" t="s">
        <v>144</v>
      </c>
      <c r="H487" s="100" t="s">
        <v>248</v>
      </c>
      <c r="I487" s="104" t="s">
        <v>339</v>
      </c>
      <c r="J487" s="102" t="s">
        <v>146</v>
      </c>
      <c r="K487" s="103">
        <v>14</v>
      </c>
      <c r="L487" s="104" t="s">
        <v>110</v>
      </c>
      <c r="M487" s="104" t="s">
        <v>147</v>
      </c>
      <c r="N487" s="104" t="s">
        <v>211</v>
      </c>
      <c r="O487" s="110">
        <v>800</v>
      </c>
      <c r="P487" s="110">
        <v>920</v>
      </c>
      <c r="Q487" s="114" t="s">
        <v>458</v>
      </c>
    </row>
    <row r="488" spans="1:17">
      <c r="A488" s="97">
        <v>487</v>
      </c>
      <c r="B488" s="101" t="s">
        <v>212</v>
      </c>
      <c r="C488" s="101">
        <v>46148</v>
      </c>
      <c r="D488" s="101">
        <v>46190</v>
      </c>
      <c r="E488" s="113">
        <v>4017</v>
      </c>
      <c r="F488" s="98" t="s">
        <v>228</v>
      </c>
      <c r="G488" s="99" t="s">
        <v>144</v>
      </c>
      <c r="H488" s="100" t="s">
        <v>248</v>
      </c>
      <c r="I488" s="104" t="s">
        <v>369</v>
      </c>
      <c r="J488" s="102" t="s">
        <v>146</v>
      </c>
      <c r="K488" s="103">
        <v>14</v>
      </c>
      <c r="L488" s="104" t="s">
        <v>110</v>
      </c>
      <c r="M488" s="104" t="s">
        <v>147</v>
      </c>
      <c r="N488" s="104" t="s">
        <v>211</v>
      </c>
      <c r="O488" s="110">
        <v>800</v>
      </c>
      <c r="P488" s="110">
        <v>920</v>
      </c>
      <c r="Q488" s="114" t="s">
        <v>458</v>
      </c>
    </row>
    <row r="489" spans="1:17">
      <c r="A489" s="97">
        <v>488</v>
      </c>
      <c r="B489" s="101" t="s">
        <v>212</v>
      </c>
      <c r="C489" s="101">
        <v>46148</v>
      </c>
      <c r="D489" s="101">
        <v>46190</v>
      </c>
      <c r="E489" s="113">
        <v>4023</v>
      </c>
      <c r="F489" s="98" t="s">
        <v>321</v>
      </c>
      <c r="G489" s="99" t="s">
        <v>144</v>
      </c>
      <c r="H489" s="100" t="s">
        <v>248</v>
      </c>
      <c r="I489" s="104" t="s">
        <v>325</v>
      </c>
      <c r="J489" s="102" t="s">
        <v>146</v>
      </c>
      <c r="K489" s="103">
        <v>14</v>
      </c>
      <c r="L489" s="104" t="s">
        <v>110</v>
      </c>
      <c r="M489" s="104" t="s">
        <v>147</v>
      </c>
      <c r="N489" s="104" t="s">
        <v>211</v>
      </c>
      <c r="O489" s="110">
        <v>800</v>
      </c>
      <c r="P489" s="110">
        <v>920</v>
      </c>
      <c r="Q489" s="114" t="s">
        <v>458</v>
      </c>
    </row>
    <row r="490" spans="1:17">
      <c r="A490" s="97">
        <v>489</v>
      </c>
      <c r="B490" s="101" t="s">
        <v>212</v>
      </c>
      <c r="C490" s="101">
        <v>46148</v>
      </c>
      <c r="D490" s="101">
        <v>46190</v>
      </c>
      <c r="E490" s="113">
        <v>4014</v>
      </c>
      <c r="F490" s="98" t="s">
        <v>227</v>
      </c>
      <c r="G490" s="99" t="s">
        <v>144</v>
      </c>
      <c r="H490" s="100" t="s">
        <v>248</v>
      </c>
      <c r="I490" s="104" t="s">
        <v>383</v>
      </c>
      <c r="J490" s="102" t="s">
        <v>146</v>
      </c>
      <c r="K490" s="103">
        <v>7</v>
      </c>
      <c r="L490" s="104" t="s">
        <v>110</v>
      </c>
      <c r="M490" s="104" t="s">
        <v>147</v>
      </c>
      <c r="N490" s="104" t="s">
        <v>211</v>
      </c>
      <c r="O490" s="110">
        <v>800</v>
      </c>
      <c r="P490" s="110">
        <v>920</v>
      </c>
      <c r="Q490" s="114" t="s">
        <v>458</v>
      </c>
    </row>
    <row r="491" spans="1:17">
      <c r="A491" s="97">
        <v>490</v>
      </c>
      <c r="B491" s="101" t="s">
        <v>212</v>
      </c>
      <c r="C491" s="101">
        <v>46148</v>
      </c>
      <c r="D491" s="101">
        <v>46190</v>
      </c>
      <c r="E491" s="113">
        <v>4004</v>
      </c>
      <c r="F491" s="98" t="s">
        <v>298</v>
      </c>
      <c r="G491" s="99" t="s">
        <v>144</v>
      </c>
      <c r="H491" s="100" t="s">
        <v>248</v>
      </c>
      <c r="I491" s="104" t="s">
        <v>477</v>
      </c>
      <c r="J491" s="102" t="s">
        <v>146</v>
      </c>
      <c r="K491" s="103">
        <v>7</v>
      </c>
      <c r="L491" s="104" t="s">
        <v>110</v>
      </c>
      <c r="M491" s="104" t="s">
        <v>147</v>
      </c>
      <c r="N491" s="104" t="s">
        <v>211</v>
      </c>
      <c r="O491" s="110">
        <v>800</v>
      </c>
      <c r="P491" s="110">
        <v>920</v>
      </c>
      <c r="Q491" s="114" t="s">
        <v>458</v>
      </c>
    </row>
    <row r="492" spans="1:17">
      <c r="A492" s="97">
        <v>491</v>
      </c>
      <c r="B492" s="101" t="s">
        <v>212</v>
      </c>
      <c r="C492" s="101">
        <v>46148</v>
      </c>
      <c r="D492" s="101">
        <v>46190</v>
      </c>
      <c r="E492" s="113">
        <v>4026</v>
      </c>
      <c r="F492" s="98" t="s">
        <v>221</v>
      </c>
      <c r="G492" s="99" t="s">
        <v>144</v>
      </c>
      <c r="H492" s="100" t="s">
        <v>248</v>
      </c>
      <c r="I492" s="104" t="s">
        <v>203</v>
      </c>
      <c r="J492" s="102" t="s">
        <v>146</v>
      </c>
      <c r="K492" s="103">
        <v>7</v>
      </c>
      <c r="L492" s="104" t="s">
        <v>110</v>
      </c>
      <c r="M492" s="104" t="s">
        <v>147</v>
      </c>
      <c r="N492" s="104" t="s">
        <v>211</v>
      </c>
      <c r="O492" s="110">
        <v>800</v>
      </c>
      <c r="P492" s="110">
        <v>920</v>
      </c>
      <c r="Q492" s="114" t="s">
        <v>458</v>
      </c>
    </row>
    <row r="493" spans="1:17">
      <c r="A493" s="97">
        <v>492</v>
      </c>
      <c r="B493" s="101" t="s">
        <v>212</v>
      </c>
      <c r="C493" s="101">
        <v>46148</v>
      </c>
      <c r="D493" s="101">
        <v>46190</v>
      </c>
      <c r="E493" s="113">
        <v>3993</v>
      </c>
      <c r="F493" s="98" t="s">
        <v>284</v>
      </c>
      <c r="G493" s="99" t="s">
        <v>144</v>
      </c>
      <c r="H493" s="100" t="s">
        <v>248</v>
      </c>
      <c r="I493" s="104" t="s">
        <v>272</v>
      </c>
      <c r="J493" s="102" t="s">
        <v>146</v>
      </c>
      <c r="K493" s="103">
        <v>14</v>
      </c>
      <c r="L493" s="104" t="s">
        <v>110</v>
      </c>
      <c r="M493" s="104" t="s">
        <v>147</v>
      </c>
      <c r="N493" s="104" t="s">
        <v>211</v>
      </c>
      <c r="O493" s="110">
        <v>800</v>
      </c>
      <c r="P493" s="110">
        <v>920</v>
      </c>
      <c r="Q493" s="114" t="s">
        <v>458</v>
      </c>
    </row>
    <row r="494" spans="1:17">
      <c r="A494" s="97">
        <v>493</v>
      </c>
      <c r="B494" s="101" t="s">
        <v>212</v>
      </c>
      <c r="C494" s="101">
        <v>46148</v>
      </c>
      <c r="D494" s="101">
        <v>46190</v>
      </c>
      <c r="E494" s="113">
        <v>4029</v>
      </c>
      <c r="F494" s="98" t="s">
        <v>320</v>
      </c>
      <c r="G494" s="99" t="s">
        <v>144</v>
      </c>
      <c r="H494" s="100" t="s">
        <v>248</v>
      </c>
      <c r="I494" s="104" t="s">
        <v>215</v>
      </c>
      <c r="J494" s="102" t="s">
        <v>146</v>
      </c>
      <c r="K494" s="103">
        <v>7</v>
      </c>
      <c r="L494" s="104" t="s">
        <v>110</v>
      </c>
      <c r="M494" s="104" t="s">
        <v>147</v>
      </c>
      <c r="N494" s="104" t="s">
        <v>211</v>
      </c>
      <c r="O494" s="110">
        <v>800</v>
      </c>
      <c r="P494" s="110">
        <v>920</v>
      </c>
      <c r="Q494" s="114" t="s">
        <v>458</v>
      </c>
    </row>
    <row r="495" spans="1:17">
      <c r="A495" s="97">
        <v>494</v>
      </c>
      <c r="B495" s="101" t="s">
        <v>212</v>
      </c>
      <c r="C495" s="101">
        <v>46148</v>
      </c>
      <c r="D495" s="101">
        <v>46190</v>
      </c>
      <c r="E495" s="113">
        <v>4024</v>
      </c>
      <c r="F495" s="98" t="s">
        <v>226</v>
      </c>
      <c r="G495" s="99" t="s">
        <v>144</v>
      </c>
      <c r="H495" s="100" t="s">
        <v>248</v>
      </c>
      <c r="I495" s="104" t="s">
        <v>470</v>
      </c>
      <c r="J495" s="102" t="s">
        <v>146</v>
      </c>
      <c r="K495" s="103">
        <v>14</v>
      </c>
      <c r="L495" s="104" t="s">
        <v>110</v>
      </c>
      <c r="M495" s="104" t="s">
        <v>147</v>
      </c>
      <c r="N495" s="104" t="s">
        <v>211</v>
      </c>
      <c r="O495" s="110">
        <v>800</v>
      </c>
      <c r="P495" s="110">
        <v>920</v>
      </c>
      <c r="Q495" s="114" t="s">
        <v>458</v>
      </c>
    </row>
    <row r="496" spans="1:17">
      <c r="A496" s="97">
        <v>495</v>
      </c>
      <c r="B496" s="101" t="s">
        <v>212</v>
      </c>
      <c r="C496" s="101">
        <v>46148</v>
      </c>
      <c r="D496" s="101">
        <v>46190</v>
      </c>
      <c r="E496" s="113">
        <v>3996</v>
      </c>
      <c r="F496" s="98" t="s">
        <v>474</v>
      </c>
      <c r="G496" s="99" t="s">
        <v>144</v>
      </c>
      <c r="H496" s="100" t="s">
        <v>248</v>
      </c>
      <c r="I496" s="104" t="s">
        <v>466</v>
      </c>
      <c r="J496" s="102" t="s">
        <v>146</v>
      </c>
      <c r="K496" s="103">
        <v>14</v>
      </c>
      <c r="L496" s="104" t="s">
        <v>110</v>
      </c>
      <c r="M496" s="104" t="s">
        <v>147</v>
      </c>
      <c r="N496" s="104" t="s">
        <v>211</v>
      </c>
      <c r="O496" s="110">
        <v>800</v>
      </c>
      <c r="P496" s="110">
        <v>920</v>
      </c>
      <c r="Q496" s="114" t="s">
        <v>458</v>
      </c>
    </row>
    <row r="497" spans="1:17">
      <c r="A497" s="97">
        <v>496</v>
      </c>
      <c r="B497" s="101" t="s">
        <v>212</v>
      </c>
      <c r="C497" s="101">
        <v>46148</v>
      </c>
      <c r="D497" s="101">
        <v>46190</v>
      </c>
      <c r="E497" s="113">
        <v>4008</v>
      </c>
      <c r="F497" s="98" t="s">
        <v>225</v>
      </c>
      <c r="G497" s="99" t="s">
        <v>144</v>
      </c>
      <c r="H497" s="100" t="s">
        <v>248</v>
      </c>
      <c r="I497" s="104" t="s">
        <v>186</v>
      </c>
      <c r="J497" s="102" t="s">
        <v>146</v>
      </c>
      <c r="K497" s="103">
        <v>14</v>
      </c>
      <c r="L497" s="104" t="s">
        <v>110</v>
      </c>
      <c r="M497" s="104" t="s">
        <v>147</v>
      </c>
      <c r="N497" s="104" t="s">
        <v>211</v>
      </c>
      <c r="O497" s="110">
        <v>800</v>
      </c>
      <c r="P497" s="110">
        <v>920</v>
      </c>
      <c r="Q497" s="114" t="s">
        <v>458</v>
      </c>
    </row>
    <row r="498" spans="1:17">
      <c r="A498" s="97">
        <v>497</v>
      </c>
      <c r="B498" s="101" t="s">
        <v>212</v>
      </c>
      <c r="C498" s="101">
        <v>46148</v>
      </c>
      <c r="D498" s="101">
        <v>46190</v>
      </c>
      <c r="E498" s="113">
        <v>4000</v>
      </c>
      <c r="F498" s="98" t="s">
        <v>374</v>
      </c>
      <c r="G498" s="99" t="s">
        <v>144</v>
      </c>
      <c r="H498" s="100" t="s">
        <v>248</v>
      </c>
      <c r="I498" s="104" t="s">
        <v>382</v>
      </c>
      <c r="J498" s="102" t="s">
        <v>146</v>
      </c>
      <c r="K498" s="103">
        <v>14</v>
      </c>
      <c r="L498" s="104" t="s">
        <v>110</v>
      </c>
      <c r="M498" s="104" t="s">
        <v>147</v>
      </c>
      <c r="N498" s="104" t="s">
        <v>211</v>
      </c>
      <c r="O498" s="110">
        <v>800</v>
      </c>
      <c r="P498" s="110">
        <v>920</v>
      </c>
      <c r="Q498" s="114" t="s">
        <v>458</v>
      </c>
    </row>
    <row r="499" spans="1:17">
      <c r="A499" s="97">
        <v>498</v>
      </c>
      <c r="B499" s="101" t="s">
        <v>212</v>
      </c>
      <c r="C499" s="101">
        <v>46148</v>
      </c>
      <c r="D499" s="101">
        <v>46190</v>
      </c>
      <c r="E499" s="113">
        <v>4019</v>
      </c>
      <c r="F499" s="98" t="s">
        <v>476</v>
      </c>
      <c r="G499" s="99" t="s">
        <v>144</v>
      </c>
      <c r="H499" s="100" t="s">
        <v>248</v>
      </c>
      <c r="I499" s="104" t="s">
        <v>204</v>
      </c>
      <c r="J499" s="102" t="s">
        <v>146</v>
      </c>
      <c r="K499" s="103">
        <v>7</v>
      </c>
      <c r="L499" s="104" t="s">
        <v>110</v>
      </c>
      <c r="M499" s="104" t="s">
        <v>147</v>
      </c>
      <c r="N499" s="104" t="s">
        <v>211</v>
      </c>
      <c r="O499" s="110">
        <v>800</v>
      </c>
      <c r="P499" s="110">
        <v>920</v>
      </c>
      <c r="Q499" s="114" t="s">
        <v>458</v>
      </c>
    </row>
    <row r="500" spans="1:17">
      <c r="A500" s="97">
        <v>499</v>
      </c>
      <c r="B500" s="101" t="s">
        <v>212</v>
      </c>
      <c r="C500" s="101">
        <v>46148</v>
      </c>
      <c r="D500" s="101">
        <v>46190</v>
      </c>
      <c r="E500" s="113">
        <v>4015</v>
      </c>
      <c r="F500" s="98" t="s">
        <v>227</v>
      </c>
      <c r="G500" s="99" t="s">
        <v>144</v>
      </c>
      <c r="H500" s="100" t="s">
        <v>248</v>
      </c>
      <c r="I500" s="104" t="s">
        <v>383</v>
      </c>
      <c r="J500" s="102" t="s">
        <v>146</v>
      </c>
      <c r="K500" s="103">
        <v>7</v>
      </c>
      <c r="L500" s="104" t="s">
        <v>110</v>
      </c>
      <c r="M500" s="104" t="s">
        <v>147</v>
      </c>
      <c r="N500" s="104" t="s">
        <v>211</v>
      </c>
      <c r="O500" s="110">
        <v>800</v>
      </c>
      <c r="P500" s="110">
        <v>920</v>
      </c>
      <c r="Q500" s="114" t="s">
        <v>458</v>
      </c>
    </row>
    <row r="501" spans="1:17">
      <c r="A501" s="97">
        <v>500</v>
      </c>
      <c r="B501" s="101" t="s">
        <v>212</v>
      </c>
      <c r="C501" s="101">
        <v>46148</v>
      </c>
      <c r="D501" s="101">
        <v>46190</v>
      </c>
      <c r="E501" s="113">
        <v>4005</v>
      </c>
      <c r="F501" s="98" t="s">
        <v>298</v>
      </c>
      <c r="G501" s="99" t="s">
        <v>144</v>
      </c>
      <c r="H501" s="100" t="s">
        <v>248</v>
      </c>
      <c r="I501" s="104" t="s">
        <v>477</v>
      </c>
      <c r="J501" s="102" t="s">
        <v>146</v>
      </c>
      <c r="K501" s="103">
        <v>7</v>
      </c>
      <c r="L501" s="104" t="s">
        <v>110</v>
      </c>
      <c r="M501" s="104" t="s">
        <v>147</v>
      </c>
      <c r="N501" s="104" t="s">
        <v>211</v>
      </c>
      <c r="O501" s="110">
        <v>800</v>
      </c>
      <c r="P501" s="110">
        <v>920</v>
      </c>
      <c r="Q501" s="114" t="s">
        <v>458</v>
      </c>
    </row>
    <row r="502" spans="1:17">
      <c r="A502" s="97">
        <v>501</v>
      </c>
      <c r="B502" s="101" t="s">
        <v>212</v>
      </c>
      <c r="C502" s="101">
        <v>46148</v>
      </c>
      <c r="D502" s="101">
        <v>46190</v>
      </c>
      <c r="E502" s="113">
        <v>4027</v>
      </c>
      <c r="F502" s="98" t="s">
        <v>221</v>
      </c>
      <c r="G502" s="99" t="s">
        <v>144</v>
      </c>
      <c r="H502" s="100" t="s">
        <v>248</v>
      </c>
      <c r="I502" s="104" t="s">
        <v>203</v>
      </c>
      <c r="J502" s="102" t="s">
        <v>146</v>
      </c>
      <c r="K502" s="103">
        <v>7</v>
      </c>
      <c r="L502" s="104" t="s">
        <v>110</v>
      </c>
      <c r="M502" s="104" t="s">
        <v>147</v>
      </c>
      <c r="N502" s="104" t="s">
        <v>211</v>
      </c>
      <c r="O502" s="110">
        <v>800</v>
      </c>
      <c r="P502" s="110">
        <v>920</v>
      </c>
      <c r="Q502" s="114" t="s">
        <v>458</v>
      </c>
    </row>
    <row r="503" spans="1:17">
      <c r="A503" s="97">
        <v>502</v>
      </c>
      <c r="B503" s="101" t="s">
        <v>212</v>
      </c>
      <c r="C503" s="101">
        <v>46148</v>
      </c>
      <c r="D503" s="101">
        <v>46190</v>
      </c>
      <c r="E503" s="113">
        <v>3997</v>
      </c>
      <c r="F503" s="98" t="s">
        <v>474</v>
      </c>
      <c r="G503" s="99" t="s">
        <v>144</v>
      </c>
      <c r="H503" s="100" t="s">
        <v>248</v>
      </c>
      <c r="I503" s="104" t="s">
        <v>466</v>
      </c>
      <c r="J503" s="102" t="s">
        <v>146</v>
      </c>
      <c r="K503" s="103">
        <v>14</v>
      </c>
      <c r="L503" s="104" t="s">
        <v>110</v>
      </c>
      <c r="M503" s="104" t="s">
        <v>147</v>
      </c>
      <c r="N503" s="104" t="s">
        <v>211</v>
      </c>
      <c r="O503" s="110">
        <v>800</v>
      </c>
      <c r="P503" s="110">
        <v>920</v>
      </c>
      <c r="Q503" s="114" t="s">
        <v>458</v>
      </c>
    </row>
    <row r="504" spans="1:17">
      <c r="A504" s="97">
        <v>503</v>
      </c>
      <c r="B504" s="101" t="s">
        <v>212</v>
      </c>
      <c r="C504" s="101">
        <v>46148</v>
      </c>
      <c r="D504" s="101">
        <v>46190</v>
      </c>
      <c r="E504" s="113">
        <v>4009</v>
      </c>
      <c r="F504" s="98" t="s">
        <v>225</v>
      </c>
      <c r="G504" s="99" t="s">
        <v>144</v>
      </c>
      <c r="H504" s="100" t="s">
        <v>248</v>
      </c>
      <c r="I504" s="104" t="s">
        <v>186</v>
      </c>
      <c r="J504" s="102" t="s">
        <v>146</v>
      </c>
      <c r="K504" s="103">
        <v>14</v>
      </c>
      <c r="L504" s="104" t="s">
        <v>110</v>
      </c>
      <c r="M504" s="104" t="s">
        <v>147</v>
      </c>
      <c r="N504" s="104" t="s">
        <v>211</v>
      </c>
      <c r="O504" s="110">
        <v>800</v>
      </c>
      <c r="P504" s="110">
        <v>920</v>
      </c>
      <c r="Q504" s="114" t="s">
        <v>458</v>
      </c>
    </row>
    <row r="505" spans="1:17">
      <c r="A505" s="97">
        <v>504</v>
      </c>
      <c r="B505" s="101" t="s">
        <v>212</v>
      </c>
      <c r="C505" s="101">
        <v>46148</v>
      </c>
      <c r="D505" s="101">
        <v>46190</v>
      </c>
      <c r="E505" s="113">
        <v>4020</v>
      </c>
      <c r="F505" s="98" t="s">
        <v>476</v>
      </c>
      <c r="G505" s="99" t="s">
        <v>144</v>
      </c>
      <c r="H505" s="100" t="s">
        <v>248</v>
      </c>
      <c r="I505" s="104" t="s">
        <v>204</v>
      </c>
      <c r="J505" s="102" t="s">
        <v>146</v>
      </c>
      <c r="K505" s="103">
        <v>7</v>
      </c>
      <c r="L505" s="104" t="s">
        <v>110</v>
      </c>
      <c r="M505" s="104" t="s">
        <v>147</v>
      </c>
      <c r="N505" s="104" t="s">
        <v>211</v>
      </c>
      <c r="O505" s="110">
        <v>800</v>
      </c>
      <c r="P505" s="110">
        <v>920</v>
      </c>
      <c r="Q505" s="114" t="s">
        <v>458</v>
      </c>
    </row>
    <row r="506" spans="1:17">
      <c r="A506" s="97">
        <v>505</v>
      </c>
      <c r="B506" s="101" t="s">
        <v>212</v>
      </c>
      <c r="C506" s="101">
        <v>46148</v>
      </c>
      <c r="D506" s="101">
        <v>46190</v>
      </c>
      <c r="E506" s="113">
        <v>3999</v>
      </c>
      <c r="F506" s="98" t="s">
        <v>374</v>
      </c>
      <c r="G506" s="99" t="s">
        <v>144</v>
      </c>
      <c r="H506" s="100" t="s">
        <v>248</v>
      </c>
      <c r="I506" s="104" t="s">
        <v>382</v>
      </c>
      <c r="J506" s="102" t="s">
        <v>146</v>
      </c>
      <c r="K506" s="103">
        <v>14</v>
      </c>
      <c r="L506" s="104" t="s">
        <v>110</v>
      </c>
      <c r="M506" s="104" t="s">
        <v>147</v>
      </c>
      <c r="N506" s="104" t="s">
        <v>211</v>
      </c>
      <c r="O506" s="110">
        <v>800</v>
      </c>
      <c r="P506" s="110">
        <v>920</v>
      </c>
      <c r="Q506" s="114" t="s">
        <v>458</v>
      </c>
    </row>
    <row r="507" spans="1:17">
      <c r="A507" s="97">
        <v>506</v>
      </c>
      <c r="B507" s="101" t="s">
        <v>212</v>
      </c>
      <c r="C507" s="101">
        <v>46148</v>
      </c>
      <c r="D507" s="101">
        <v>46190</v>
      </c>
      <c r="E507" s="113">
        <v>3981</v>
      </c>
      <c r="F507" s="98" t="s">
        <v>244</v>
      </c>
      <c r="G507" s="99" t="s">
        <v>144</v>
      </c>
      <c r="H507" s="100" t="s">
        <v>248</v>
      </c>
      <c r="I507" s="104" t="s">
        <v>267</v>
      </c>
      <c r="J507" s="102" t="s">
        <v>146</v>
      </c>
      <c r="K507" s="103">
        <v>14</v>
      </c>
      <c r="L507" s="104" t="s">
        <v>110</v>
      </c>
      <c r="M507" s="104" t="s">
        <v>147</v>
      </c>
      <c r="N507" s="104" t="s">
        <v>211</v>
      </c>
      <c r="O507" s="110">
        <v>800</v>
      </c>
      <c r="P507" s="110">
        <v>920</v>
      </c>
      <c r="Q507" s="114" t="s">
        <v>458</v>
      </c>
    </row>
    <row r="508" spans="1:17" ht="15" customHeight="1">
      <c r="A508" s="97">
        <v>507</v>
      </c>
      <c r="B508" s="101" t="s">
        <v>184</v>
      </c>
      <c r="C508" s="101">
        <v>46148</v>
      </c>
      <c r="D508" s="117">
        <v>46191</v>
      </c>
      <c r="E508" s="106">
        <v>2451</v>
      </c>
      <c r="F508" s="98" t="s">
        <v>302</v>
      </c>
      <c r="G508" s="99" t="s">
        <v>144</v>
      </c>
      <c r="H508" s="100" t="s">
        <v>307</v>
      </c>
      <c r="I508" s="104" t="s">
        <v>536</v>
      </c>
      <c r="J508" s="102" t="s">
        <v>315</v>
      </c>
      <c r="K508" s="103">
        <v>14</v>
      </c>
      <c r="L508" s="104" t="s">
        <v>110</v>
      </c>
      <c r="M508" s="104" t="s">
        <v>139</v>
      </c>
      <c r="N508" s="104"/>
      <c r="O508" s="109"/>
      <c r="P508" s="109"/>
      <c r="Q508" s="105" t="s">
        <v>458</v>
      </c>
    </row>
    <row r="509" spans="1:17" ht="15" customHeight="1">
      <c r="A509" s="97">
        <v>508</v>
      </c>
      <c r="B509" s="101" t="s">
        <v>184</v>
      </c>
      <c r="C509" s="101">
        <v>46148</v>
      </c>
      <c r="D509" s="117">
        <v>46191</v>
      </c>
      <c r="E509" s="106">
        <v>2452</v>
      </c>
      <c r="F509" s="98" t="s">
        <v>534</v>
      </c>
      <c r="G509" s="99" t="s">
        <v>144</v>
      </c>
      <c r="H509" s="100" t="s">
        <v>261</v>
      </c>
      <c r="I509" s="104" t="s">
        <v>274</v>
      </c>
      <c r="J509" s="102" t="s">
        <v>315</v>
      </c>
      <c r="K509" s="103">
        <v>14</v>
      </c>
      <c r="L509" s="104" t="s">
        <v>110</v>
      </c>
      <c r="M509" s="104" t="s">
        <v>139</v>
      </c>
      <c r="N509" s="104"/>
      <c r="O509" s="109"/>
      <c r="P509" s="109"/>
      <c r="Q509" s="105" t="s">
        <v>458</v>
      </c>
    </row>
    <row r="510" spans="1:17" ht="15" customHeight="1">
      <c r="A510" s="97">
        <v>509</v>
      </c>
      <c r="B510" s="101" t="s">
        <v>184</v>
      </c>
      <c r="C510" s="101">
        <v>46148</v>
      </c>
      <c r="D510" s="117">
        <v>46191</v>
      </c>
      <c r="E510" s="106">
        <v>2453</v>
      </c>
      <c r="F510" s="98" t="s">
        <v>535</v>
      </c>
      <c r="G510" s="99" t="s">
        <v>144</v>
      </c>
      <c r="H510" s="100" t="s">
        <v>464</v>
      </c>
      <c r="I510" s="104" t="s">
        <v>537</v>
      </c>
      <c r="J510" s="102" t="s">
        <v>315</v>
      </c>
      <c r="K510" s="103">
        <v>14</v>
      </c>
      <c r="L510" s="104" t="s">
        <v>110</v>
      </c>
      <c r="M510" s="104" t="s">
        <v>139</v>
      </c>
      <c r="N510" s="104"/>
      <c r="O510" s="109"/>
      <c r="P510" s="109"/>
      <c r="Q510" s="105" t="s">
        <v>458</v>
      </c>
    </row>
    <row r="511" spans="1:17" ht="15" customHeight="1">
      <c r="A511" s="97">
        <v>510</v>
      </c>
      <c r="B511" s="101" t="s">
        <v>184</v>
      </c>
      <c r="C511" s="101">
        <v>46148</v>
      </c>
      <c r="D511" s="117">
        <v>46191</v>
      </c>
      <c r="E511" s="106">
        <v>2455</v>
      </c>
      <c r="F511" s="98" t="s">
        <v>244</v>
      </c>
      <c r="G511" s="99" t="s">
        <v>144</v>
      </c>
      <c r="H511" s="100" t="s">
        <v>336</v>
      </c>
      <c r="I511" s="104" t="s">
        <v>538</v>
      </c>
      <c r="J511" s="102" t="s">
        <v>315</v>
      </c>
      <c r="K511" s="103">
        <v>14</v>
      </c>
      <c r="L511" s="104" t="s">
        <v>110</v>
      </c>
      <c r="M511" s="104" t="s">
        <v>139</v>
      </c>
      <c r="N511" s="104"/>
      <c r="O511" s="109"/>
      <c r="P511" s="109"/>
      <c r="Q511" s="105" t="s">
        <v>458</v>
      </c>
    </row>
    <row r="512" spans="1:17" ht="15" customHeight="1">
      <c r="A512" s="97">
        <v>511</v>
      </c>
      <c r="B512" s="101" t="s">
        <v>184</v>
      </c>
      <c r="C512" s="101">
        <v>46148</v>
      </c>
      <c r="D512" s="117">
        <v>46191</v>
      </c>
      <c r="E512" s="106">
        <v>2456</v>
      </c>
      <c r="F512" s="98" t="s">
        <v>376</v>
      </c>
      <c r="G512" s="99" t="s">
        <v>144</v>
      </c>
      <c r="H512" s="100" t="s">
        <v>303</v>
      </c>
      <c r="I512" s="104" t="s">
        <v>539</v>
      </c>
      <c r="J512" s="102" t="s">
        <v>315</v>
      </c>
      <c r="K512" s="103">
        <v>14</v>
      </c>
      <c r="L512" s="104" t="s">
        <v>110</v>
      </c>
      <c r="M512" s="104" t="s">
        <v>139</v>
      </c>
      <c r="N512" s="104"/>
      <c r="O512" s="109"/>
      <c r="P512" s="109"/>
      <c r="Q512" s="105" t="s">
        <v>458</v>
      </c>
    </row>
    <row r="513" spans="1:17">
      <c r="A513" s="97">
        <v>512</v>
      </c>
      <c r="B513" s="101" t="s">
        <v>498</v>
      </c>
      <c r="C513" s="101">
        <v>46189</v>
      </c>
      <c r="D513" s="117">
        <v>46191</v>
      </c>
      <c r="E513" s="106">
        <v>4748</v>
      </c>
      <c r="F513" s="98" t="s">
        <v>126</v>
      </c>
      <c r="G513" s="99" t="s">
        <v>144</v>
      </c>
      <c r="H513" s="105">
        <v>33</v>
      </c>
      <c r="I513" s="107" t="s">
        <v>194</v>
      </c>
      <c r="J513" s="102" t="s">
        <v>180</v>
      </c>
      <c r="K513" s="103">
        <v>30</v>
      </c>
      <c r="L513" s="104" t="s">
        <v>100</v>
      </c>
      <c r="M513" s="104" t="s">
        <v>139</v>
      </c>
      <c r="N513" s="104"/>
      <c r="O513" s="109"/>
      <c r="P513" s="109"/>
      <c r="Q513" s="114" t="s">
        <v>458</v>
      </c>
    </row>
    <row r="514" spans="1:17">
      <c r="A514" s="97">
        <v>513</v>
      </c>
      <c r="B514" s="101" t="s">
        <v>212</v>
      </c>
      <c r="C514" s="101">
        <v>46148</v>
      </c>
      <c r="D514" s="101">
        <v>46191</v>
      </c>
      <c r="E514" s="115">
        <v>2451</v>
      </c>
      <c r="F514" s="98" t="s">
        <v>480</v>
      </c>
      <c r="G514" s="99" t="s">
        <v>101</v>
      </c>
      <c r="H514" s="100" t="s">
        <v>479</v>
      </c>
      <c r="I514" s="104" t="s">
        <v>478</v>
      </c>
      <c r="J514" s="102" t="s">
        <v>481</v>
      </c>
      <c r="K514" s="103">
        <v>14</v>
      </c>
      <c r="L514" s="104" t="s">
        <v>110</v>
      </c>
      <c r="M514" s="104" t="s">
        <v>147</v>
      </c>
      <c r="N514" s="104" t="s">
        <v>211</v>
      </c>
      <c r="O514" s="110">
        <v>800</v>
      </c>
      <c r="P514" s="110">
        <v>920</v>
      </c>
      <c r="Q514" s="114" t="s">
        <v>458</v>
      </c>
    </row>
    <row r="515" spans="1:17">
      <c r="A515" s="97">
        <v>514</v>
      </c>
      <c r="B515" s="101" t="s">
        <v>212</v>
      </c>
      <c r="C515" s="101">
        <v>46148</v>
      </c>
      <c r="D515" s="101">
        <v>46191</v>
      </c>
      <c r="E515" s="115">
        <v>2452</v>
      </c>
      <c r="F515" s="98" t="s">
        <v>480</v>
      </c>
      <c r="G515" s="99" t="s">
        <v>101</v>
      </c>
      <c r="H515" s="100" t="s">
        <v>479</v>
      </c>
      <c r="I515" s="104" t="s">
        <v>478</v>
      </c>
      <c r="J515" s="102" t="s">
        <v>481</v>
      </c>
      <c r="K515" s="103">
        <v>14</v>
      </c>
      <c r="L515" s="104" t="s">
        <v>110</v>
      </c>
      <c r="M515" s="104" t="s">
        <v>147</v>
      </c>
      <c r="N515" s="104" t="s">
        <v>211</v>
      </c>
      <c r="O515" s="110">
        <v>800</v>
      </c>
      <c r="P515" s="110">
        <v>920</v>
      </c>
      <c r="Q515" s="114" t="s">
        <v>458</v>
      </c>
    </row>
    <row r="516" spans="1:17">
      <c r="A516" s="97">
        <v>515</v>
      </c>
      <c r="B516" s="101" t="s">
        <v>212</v>
      </c>
      <c r="C516" s="101">
        <v>46148</v>
      </c>
      <c r="D516" s="101">
        <v>46191</v>
      </c>
      <c r="E516" s="115">
        <v>2453</v>
      </c>
      <c r="F516" s="98" t="s">
        <v>480</v>
      </c>
      <c r="G516" s="99" t="s">
        <v>101</v>
      </c>
      <c r="H516" s="100" t="s">
        <v>479</v>
      </c>
      <c r="I516" s="104" t="s">
        <v>478</v>
      </c>
      <c r="J516" s="102" t="s">
        <v>481</v>
      </c>
      <c r="K516" s="103">
        <v>14</v>
      </c>
      <c r="L516" s="104" t="s">
        <v>110</v>
      </c>
      <c r="M516" s="104" t="s">
        <v>147</v>
      </c>
      <c r="N516" s="104" t="s">
        <v>211</v>
      </c>
      <c r="O516" s="110">
        <v>800</v>
      </c>
      <c r="P516" s="110">
        <v>920</v>
      </c>
      <c r="Q516" s="114" t="s">
        <v>458</v>
      </c>
    </row>
    <row r="517" spans="1:17">
      <c r="A517" s="97">
        <v>516</v>
      </c>
      <c r="B517" s="101" t="s">
        <v>212</v>
      </c>
      <c r="C517" s="101">
        <v>46148</v>
      </c>
      <c r="D517" s="101">
        <v>46191</v>
      </c>
      <c r="E517" s="115">
        <v>2455</v>
      </c>
      <c r="F517" s="98" t="s">
        <v>480</v>
      </c>
      <c r="G517" s="99" t="s">
        <v>101</v>
      </c>
      <c r="H517" s="100" t="s">
        <v>479</v>
      </c>
      <c r="I517" s="104" t="s">
        <v>478</v>
      </c>
      <c r="J517" s="102" t="s">
        <v>481</v>
      </c>
      <c r="K517" s="103">
        <v>14</v>
      </c>
      <c r="L517" s="104" t="s">
        <v>110</v>
      </c>
      <c r="M517" s="104" t="s">
        <v>147</v>
      </c>
      <c r="N517" s="104" t="s">
        <v>211</v>
      </c>
      <c r="O517" s="110">
        <v>800</v>
      </c>
      <c r="P517" s="110">
        <v>920</v>
      </c>
      <c r="Q517" s="114" t="s">
        <v>458</v>
      </c>
    </row>
    <row r="518" spans="1:17">
      <c r="A518" s="97">
        <v>517</v>
      </c>
      <c r="B518" s="101" t="s">
        <v>212</v>
      </c>
      <c r="C518" s="101">
        <v>46148</v>
      </c>
      <c r="D518" s="101">
        <v>46191</v>
      </c>
      <c r="E518" s="115">
        <v>2456</v>
      </c>
      <c r="F518" s="98" t="s">
        <v>480</v>
      </c>
      <c r="G518" s="99" t="s">
        <v>101</v>
      </c>
      <c r="H518" s="100" t="s">
        <v>479</v>
      </c>
      <c r="I518" s="104" t="s">
        <v>478</v>
      </c>
      <c r="J518" s="102" t="s">
        <v>481</v>
      </c>
      <c r="K518" s="103">
        <v>14</v>
      </c>
      <c r="L518" s="104" t="s">
        <v>110</v>
      </c>
      <c r="M518" s="104" t="s">
        <v>147</v>
      </c>
      <c r="N518" s="104" t="s">
        <v>211</v>
      </c>
      <c r="O518" s="110">
        <v>1230</v>
      </c>
      <c r="P518" s="110">
        <v>1290</v>
      </c>
      <c r="Q518" s="114" t="s">
        <v>458</v>
      </c>
    </row>
    <row r="519" spans="1:17">
      <c r="A519" s="97">
        <v>518</v>
      </c>
      <c r="B519" s="101" t="s">
        <v>498</v>
      </c>
      <c r="C519" s="101">
        <v>46189</v>
      </c>
      <c r="D519" s="117">
        <v>46192</v>
      </c>
      <c r="E519" s="106">
        <v>8747</v>
      </c>
      <c r="F519" s="98" t="s">
        <v>162</v>
      </c>
      <c r="G519" s="99" t="s">
        <v>144</v>
      </c>
      <c r="H519" s="105">
        <v>5</v>
      </c>
      <c r="I519" s="107" t="s">
        <v>172</v>
      </c>
      <c r="J519" s="102" t="s">
        <v>180</v>
      </c>
      <c r="K519" s="103">
        <v>30</v>
      </c>
      <c r="L519" s="104" t="s">
        <v>100</v>
      </c>
      <c r="M519" s="104" t="s">
        <v>139</v>
      </c>
      <c r="N519" s="104"/>
      <c r="O519" s="109"/>
      <c r="P519" s="109"/>
      <c r="Q519" s="114" t="s">
        <v>458</v>
      </c>
    </row>
    <row r="520" spans="1:17">
      <c r="A520" s="97">
        <v>519</v>
      </c>
      <c r="B520" s="101" t="s">
        <v>212</v>
      </c>
      <c r="C520" s="101">
        <v>46148</v>
      </c>
      <c r="D520" s="101">
        <v>46192</v>
      </c>
      <c r="E520" s="113">
        <v>4119</v>
      </c>
      <c r="F520" s="98" t="s">
        <v>223</v>
      </c>
      <c r="G520" s="99" t="s">
        <v>144</v>
      </c>
      <c r="H520" s="100" t="s">
        <v>197</v>
      </c>
      <c r="I520" s="104" t="s">
        <v>204</v>
      </c>
      <c r="J520" s="102" t="s">
        <v>146</v>
      </c>
      <c r="K520" s="103">
        <v>7</v>
      </c>
      <c r="L520" s="104" t="s">
        <v>110</v>
      </c>
      <c r="M520" s="104" t="s">
        <v>147</v>
      </c>
      <c r="N520" s="104" t="s">
        <v>211</v>
      </c>
      <c r="O520" s="110">
        <v>800</v>
      </c>
      <c r="P520" s="110">
        <v>920</v>
      </c>
      <c r="Q520" s="114" t="s">
        <v>458</v>
      </c>
    </row>
    <row r="521" spans="1:17">
      <c r="A521" s="97">
        <v>520</v>
      </c>
      <c r="B521" s="101" t="s">
        <v>212</v>
      </c>
      <c r="C521" s="101">
        <v>46148</v>
      </c>
      <c r="D521" s="101">
        <v>46192</v>
      </c>
      <c r="E521" s="113">
        <v>4021</v>
      </c>
      <c r="F521" s="98" t="s">
        <v>223</v>
      </c>
      <c r="G521" s="99" t="s">
        <v>144</v>
      </c>
      <c r="H521" s="100" t="s">
        <v>197</v>
      </c>
      <c r="I521" s="104" t="s">
        <v>204</v>
      </c>
      <c r="J521" s="102" t="s">
        <v>146</v>
      </c>
      <c r="K521" s="103">
        <v>7</v>
      </c>
      <c r="L521" s="104" t="s">
        <v>110</v>
      </c>
      <c r="M521" s="104" t="s">
        <v>147</v>
      </c>
      <c r="N521" s="104" t="s">
        <v>211</v>
      </c>
      <c r="O521" s="110">
        <v>800</v>
      </c>
      <c r="P521" s="110">
        <v>920</v>
      </c>
      <c r="Q521" s="114" t="s">
        <v>458</v>
      </c>
    </row>
    <row r="522" spans="1:17">
      <c r="A522" s="97">
        <v>521</v>
      </c>
      <c r="B522" s="101" t="s">
        <v>212</v>
      </c>
      <c r="C522" s="101">
        <v>46148</v>
      </c>
      <c r="D522" s="101">
        <v>46192</v>
      </c>
      <c r="E522" s="113">
        <v>4118</v>
      </c>
      <c r="F522" s="98" t="s">
        <v>223</v>
      </c>
      <c r="G522" s="99" t="s">
        <v>144</v>
      </c>
      <c r="H522" s="100" t="s">
        <v>197</v>
      </c>
      <c r="I522" s="104" t="s">
        <v>204</v>
      </c>
      <c r="J522" s="102" t="s">
        <v>146</v>
      </c>
      <c r="K522" s="103">
        <v>7</v>
      </c>
      <c r="L522" s="104" t="s">
        <v>110</v>
      </c>
      <c r="M522" s="104" t="s">
        <v>147</v>
      </c>
      <c r="N522" s="104" t="s">
        <v>211</v>
      </c>
      <c r="O522" s="110">
        <v>800</v>
      </c>
      <c r="P522" s="110">
        <v>920</v>
      </c>
      <c r="Q522" s="114" t="s">
        <v>458</v>
      </c>
    </row>
    <row r="523" spans="1:17">
      <c r="A523" s="97">
        <v>522</v>
      </c>
      <c r="B523" s="101" t="s">
        <v>212</v>
      </c>
      <c r="C523" s="101">
        <v>46148</v>
      </c>
      <c r="D523" s="101">
        <v>46192</v>
      </c>
      <c r="E523" s="113">
        <v>4122</v>
      </c>
      <c r="F523" s="98" t="s">
        <v>298</v>
      </c>
      <c r="G523" s="99" t="s">
        <v>144</v>
      </c>
      <c r="H523" s="100" t="s">
        <v>199</v>
      </c>
      <c r="I523" s="104" t="s">
        <v>477</v>
      </c>
      <c r="J523" s="102" t="s">
        <v>146</v>
      </c>
      <c r="K523" s="103">
        <v>7</v>
      </c>
      <c r="L523" s="104" t="s">
        <v>110</v>
      </c>
      <c r="M523" s="104" t="s">
        <v>147</v>
      </c>
      <c r="N523" s="104" t="s">
        <v>211</v>
      </c>
      <c r="O523" s="110">
        <v>800</v>
      </c>
      <c r="P523" s="110">
        <v>920</v>
      </c>
      <c r="Q523" s="114" t="s">
        <v>458</v>
      </c>
    </row>
    <row r="524" spans="1:17">
      <c r="A524" s="97">
        <v>523</v>
      </c>
      <c r="B524" s="101" t="s">
        <v>212</v>
      </c>
      <c r="C524" s="101">
        <v>46148</v>
      </c>
      <c r="D524" s="101">
        <v>46192</v>
      </c>
      <c r="E524" s="113">
        <v>4105</v>
      </c>
      <c r="F524" s="98" t="s">
        <v>222</v>
      </c>
      <c r="G524" s="99" t="s">
        <v>144</v>
      </c>
      <c r="H524" s="100" t="s">
        <v>142</v>
      </c>
      <c r="I524" s="104" t="s">
        <v>215</v>
      </c>
      <c r="J524" s="102" t="s">
        <v>146</v>
      </c>
      <c r="K524" s="103">
        <v>7</v>
      </c>
      <c r="L524" s="104" t="s">
        <v>110</v>
      </c>
      <c r="M524" s="104" t="s">
        <v>147</v>
      </c>
      <c r="N524" s="104" t="s">
        <v>211</v>
      </c>
      <c r="O524" s="110">
        <v>800</v>
      </c>
      <c r="P524" s="110">
        <v>920</v>
      </c>
      <c r="Q524" s="114" t="s">
        <v>458</v>
      </c>
    </row>
    <row r="525" spans="1:17">
      <c r="A525" s="97">
        <v>524</v>
      </c>
      <c r="B525" s="101" t="s">
        <v>212</v>
      </c>
      <c r="C525" s="101">
        <v>46148</v>
      </c>
      <c r="D525" s="101">
        <v>46192</v>
      </c>
      <c r="E525" s="113">
        <v>4106</v>
      </c>
      <c r="F525" s="98" t="s">
        <v>222</v>
      </c>
      <c r="G525" s="99" t="s">
        <v>144</v>
      </c>
      <c r="H525" s="100" t="s">
        <v>142</v>
      </c>
      <c r="I525" s="104" t="s">
        <v>215</v>
      </c>
      <c r="J525" s="102" t="s">
        <v>146</v>
      </c>
      <c r="K525" s="103">
        <v>7</v>
      </c>
      <c r="L525" s="104" t="s">
        <v>110</v>
      </c>
      <c r="M525" s="104" t="s">
        <v>147</v>
      </c>
      <c r="N525" s="104" t="s">
        <v>211</v>
      </c>
      <c r="O525" s="110">
        <v>800</v>
      </c>
      <c r="P525" s="110">
        <v>920</v>
      </c>
      <c r="Q525" s="114" t="s">
        <v>458</v>
      </c>
    </row>
    <row r="526" spans="1:17">
      <c r="A526" s="97">
        <v>525</v>
      </c>
      <c r="B526" s="101" t="s">
        <v>212</v>
      </c>
      <c r="C526" s="101">
        <v>46148</v>
      </c>
      <c r="D526" s="101">
        <v>46192</v>
      </c>
      <c r="E526" s="113">
        <v>4132</v>
      </c>
      <c r="F526" s="98" t="s">
        <v>245</v>
      </c>
      <c r="G526" s="99" t="s">
        <v>144</v>
      </c>
      <c r="H526" s="100" t="s">
        <v>483</v>
      </c>
      <c r="I526" s="104" t="s">
        <v>274</v>
      </c>
      <c r="J526" s="102" t="s">
        <v>146</v>
      </c>
      <c r="K526" s="103">
        <v>7</v>
      </c>
      <c r="L526" s="104" t="s">
        <v>110</v>
      </c>
      <c r="M526" s="104" t="s">
        <v>147</v>
      </c>
      <c r="N526" s="104" t="s">
        <v>211</v>
      </c>
      <c r="O526" s="110">
        <v>800</v>
      </c>
      <c r="P526" s="110">
        <v>920</v>
      </c>
      <c r="Q526" s="114" t="s">
        <v>458</v>
      </c>
    </row>
    <row r="527" spans="1:17">
      <c r="A527" s="97">
        <v>526</v>
      </c>
      <c r="B527" s="101" t="s">
        <v>212</v>
      </c>
      <c r="C527" s="101">
        <v>46148</v>
      </c>
      <c r="D527" s="101">
        <v>46192</v>
      </c>
      <c r="E527" s="113">
        <v>4123</v>
      </c>
      <c r="F527" s="98" t="s">
        <v>298</v>
      </c>
      <c r="G527" s="99" t="s">
        <v>144</v>
      </c>
      <c r="H527" s="100" t="s">
        <v>199</v>
      </c>
      <c r="I527" s="104" t="s">
        <v>477</v>
      </c>
      <c r="J527" s="102" t="s">
        <v>146</v>
      </c>
      <c r="K527" s="103">
        <v>7</v>
      </c>
      <c r="L527" s="104" t="s">
        <v>110</v>
      </c>
      <c r="M527" s="104" t="s">
        <v>147</v>
      </c>
      <c r="N527" s="104" t="s">
        <v>211</v>
      </c>
      <c r="O527" s="110">
        <v>800</v>
      </c>
      <c r="P527" s="110">
        <v>920</v>
      </c>
      <c r="Q527" s="114" t="s">
        <v>458</v>
      </c>
    </row>
    <row r="528" spans="1:17">
      <c r="A528" s="97">
        <v>527</v>
      </c>
      <c r="B528" s="101" t="s">
        <v>212</v>
      </c>
      <c r="C528" s="101">
        <v>46148</v>
      </c>
      <c r="D528" s="101">
        <v>46192</v>
      </c>
      <c r="E528" s="113">
        <v>4086</v>
      </c>
      <c r="F528" s="98" t="s">
        <v>257</v>
      </c>
      <c r="G528" s="99" t="s">
        <v>144</v>
      </c>
      <c r="H528" s="100" t="s">
        <v>484</v>
      </c>
      <c r="I528" s="104" t="s">
        <v>485</v>
      </c>
      <c r="J528" s="102" t="s">
        <v>146</v>
      </c>
      <c r="K528" s="103">
        <v>14</v>
      </c>
      <c r="L528" s="104" t="s">
        <v>110</v>
      </c>
      <c r="M528" s="104" t="s">
        <v>147</v>
      </c>
      <c r="N528" s="104" t="s">
        <v>211</v>
      </c>
      <c r="O528" s="110">
        <v>800</v>
      </c>
      <c r="P528" s="110">
        <v>920</v>
      </c>
      <c r="Q528" s="114" t="s">
        <v>458</v>
      </c>
    </row>
    <row r="529" spans="1:17">
      <c r="A529" s="97">
        <v>528</v>
      </c>
      <c r="B529" s="101" t="s">
        <v>212</v>
      </c>
      <c r="C529" s="101">
        <v>46148</v>
      </c>
      <c r="D529" s="101">
        <v>46192</v>
      </c>
      <c r="E529" s="113">
        <v>4088</v>
      </c>
      <c r="F529" s="98" t="s">
        <v>228</v>
      </c>
      <c r="G529" s="99" t="s">
        <v>144</v>
      </c>
      <c r="H529" s="100" t="s">
        <v>202</v>
      </c>
      <c r="I529" s="104" t="s">
        <v>486</v>
      </c>
      <c r="J529" s="102" t="s">
        <v>146</v>
      </c>
      <c r="K529" s="103">
        <v>14</v>
      </c>
      <c r="L529" s="104" t="s">
        <v>110</v>
      </c>
      <c r="M529" s="104" t="s">
        <v>147</v>
      </c>
      <c r="N529" s="104" t="s">
        <v>211</v>
      </c>
      <c r="O529" s="110">
        <v>800</v>
      </c>
      <c r="P529" s="110">
        <v>920</v>
      </c>
      <c r="Q529" s="114" t="s">
        <v>458</v>
      </c>
    </row>
    <row r="530" spans="1:17">
      <c r="A530" s="97">
        <v>529</v>
      </c>
      <c r="B530" s="101" t="s">
        <v>212</v>
      </c>
      <c r="C530" s="101">
        <v>46148</v>
      </c>
      <c r="D530" s="101">
        <v>46192</v>
      </c>
      <c r="E530" s="113">
        <v>4114</v>
      </c>
      <c r="F530" s="98" t="s">
        <v>225</v>
      </c>
      <c r="G530" s="99" t="s">
        <v>144</v>
      </c>
      <c r="H530" s="100" t="s">
        <v>201</v>
      </c>
      <c r="I530" s="104" t="s">
        <v>175</v>
      </c>
      <c r="J530" s="102" t="s">
        <v>146</v>
      </c>
      <c r="K530" s="103">
        <v>14</v>
      </c>
      <c r="L530" s="104" t="s">
        <v>110</v>
      </c>
      <c r="M530" s="104" t="s">
        <v>147</v>
      </c>
      <c r="N530" s="104" t="s">
        <v>211</v>
      </c>
      <c r="O530" s="110">
        <v>800</v>
      </c>
      <c r="P530" s="110">
        <v>920</v>
      </c>
      <c r="Q530" s="114" t="s">
        <v>458</v>
      </c>
    </row>
    <row r="531" spans="1:17">
      <c r="A531" s="97">
        <v>530</v>
      </c>
      <c r="B531" s="101" t="s">
        <v>212</v>
      </c>
      <c r="C531" s="101">
        <v>46148</v>
      </c>
      <c r="D531" s="101">
        <v>46192</v>
      </c>
      <c r="E531" s="113">
        <v>4130</v>
      </c>
      <c r="F531" s="98" t="s">
        <v>321</v>
      </c>
      <c r="G531" s="99" t="s">
        <v>144</v>
      </c>
      <c r="H531" s="100" t="s">
        <v>306</v>
      </c>
      <c r="I531" s="104" t="s">
        <v>325</v>
      </c>
      <c r="J531" s="102" t="s">
        <v>146</v>
      </c>
      <c r="K531" s="103">
        <v>14</v>
      </c>
      <c r="L531" s="104" t="s">
        <v>110</v>
      </c>
      <c r="M531" s="104" t="s">
        <v>147</v>
      </c>
      <c r="N531" s="104" t="s">
        <v>211</v>
      </c>
      <c r="O531" s="110">
        <v>800</v>
      </c>
      <c r="P531" s="110">
        <v>920</v>
      </c>
      <c r="Q531" s="114" t="s">
        <v>458</v>
      </c>
    </row>
    <row r="532" spans="1:17">
      <c r="A532" s="97">
        <v>531</v>
      </c>
      <c r="B532" s="101" t="s">
        <v>212</v>
      </c>
      <c r="C532" s="101">
        <v>46148</v>
      </c>
      <c r="D532" s="101">
        <v>46192</v>
      </c>
      <c r="E532" s="113">
        <v>4089</v>
      </c>
      <c r="F532" s="98" t="s">
        <v>228</v>
      </c>
      <c r="G532" s="99" t="s">
        <v>144</v>
      </c>
      <c r="H532" s="100" t="s">
        <v>202</v>
      </c>
      <c r="I532" s="104" t="s">
        <v>486</v>
      </c>
      <c r="J532" s="102" t="s">
        <v>146</v>
      </c>
      <c r="K532" s="103">
        <v>14</v>
      </c>
      <c r="L532" s="104" t="s">
        <v>110</v>
      </c>
      <c r="M532" s="104" t="s">
        <v>147</v>
      </c>
      <c r="N532" s="104" t="s">
        <v>211</v>
      </c>
      <c r="O532" s="110">
        <v>800</v>
      </c>
      <c r="P532" s="110">
        <v>920</v>
      </c>
      <c r="Q532" s="114" t="s">
        <v>458</v>
      </c>
    </row>
    <row r="533" spans="1:17">
      <c r="A533" s="97">
        <v>532</v>
      </c>
      <c r="B533" s="101" t="s">
        <v>212</v>
      </c>
      <c r="C533" s="101">
        <v>46148</v>
      </c>
      <c r="D533" s="101">
        <v>46192</v>
      </c>
      <c r="E533" s="113">
        <v>4136</v>
      </c>
      <c r="F533" s="98" t="s">
        <v>284</v>
      </c>
      <c r="G533" s="99" t="s">
        <v>144</v>
      </c>
      <c r="H533" s="100" t="s">
        <v>247</v>
      </c>
      <c r="I533" s="104" t="s">
        <v>487</v>
      </c>
      <c r="J533" s="102" t="s">
        <v>146</v>
      </c>
      <c r="K533" s="103">
        <v>14</v>
      </c>
      <c r="L533" s="104" t="s">
        <v>110</v>
      </c>
      <c r="M533" s="104" t="s">
        <v>147</v>
      </c>
      <c r="N533" s="104" t="s">
        <v>211</v>
      </c>
      <c r="O533" s="110">
        <v>800</v>
      </c>
      <c r="P533" s="110">
        <v>920</v>
      </c>
      <c r="Q533" s="114" t="s">
        <v>458</v>
      </c>
    </row>
    <row r="534" spans="1:17">
      <c r="A534" s="97">
        <v>533</v>
      </c>
      <c r="B534" s="101" t="s">
        <v>212</v>
      </c>
      <c r="C534" s="101">
        <v>46148</v>
      </c>
      <c r="D534" s="101">
        <v>46192</v>
      </c>
      <c r="E534" s="113">
        <v>4125</v>
      </c>
      <c r="F534" s="98" t="s">
        <v>378</v>
      </c>
      <c r="G534" s="99" t="s">
        <v>144</v>
      </c>
      <c r="H534" s="100" t="s">
        <v>381</v>
      </c>
      <c r="I534" s="104" t="s">
        <v>386</v>
      </c>
      <c r="J534" s="102" t="s">
        <v>146</v>
      </c>
      <c r="K534" s="103">
        <v>14</v>
      </c>
      <c r="L534" s="104" t="s">
        <v>110</v>
      </c>
      <c r="M534" s="104" t="s">
        <v>147</v>
      </c>
      <c r="N534" s="104" t="s">
        <v>211</v>
      </c>
      <c r="O534" s="110">
        <v>800</v>
      </c>
      <c r="P534" s="110">
        <v>920</v>
      </c>
      <c r="Q534" s="114" t="s">
        <v>458</v>
      </c>
    </row>
    <row r="535" spans="1:17">
      <c r="A535" s="97">
        <v>534</v>
      </c>
      <c r="B535" s="101" t="s">
        <v>212</v>
      </c>
      <c r="C535" s="101">
        <v>46148</v>
      </c>
      <c r="D535" s="101">
        <v>46192</v>
      </c>
      <c r="E535" s="113">
        <v>4124</v>
      </c>
      <c r="F535" s="98" t="s">
        <v>378</v>
      </c>
      <c r="G535" s="99" t="s">
        <v>144</v>
      </c>
      <c r="H535" s="100" t="s">
        <v>381</v>
      </c>
      <c r="I535" s="104" t="s">
        <v>386</v>
      </c>
      <c r="J535" s="102" t="s">
        <v>146</v>
      </c>
      <c r="K535" s="103">
        <v>14</v>
      </c>
      <c r="L535" s="104" t="s">
        <v>110</v>
      </c>
      <c r="M535" s="104" t="s">
        <v>147</v>
      </c>
      <c r="N535" s="104" t="s">
        <v>211</v>
      </c>
      <c r="O535" s="110">
        <v>800</v>
      </c>
      <c r="P535" s="110">
        <v>920</v>
      </c>
      <c r="Q535" s="114" t="s">
        <v>458</v>
      </c>
    </row>
    <row r="536" spans="1:17">
      <c r="A536" s="97">
        <v>535</v>
      </c>
      <c r="B536" s="101" t="s">
        <v>212</v>
      </c>
      <c r="C536" s="101">
        <v>46148</v>
      </c>
      <c r="D536" s="101">
        <v>46192</v>
      </c>
      <c r="E536" s="113">
        <v>4127</v>
      </c>
      <c r="F536" s="98" t="s">
        <v>374</v>
      </c>
      <c r="G536" s="99" t="s">
        <v>144</v>
      </c>
      <c r="H536" s="100" t="s">
        <v>379</v>
      </c>
      <c r="I536" s="104" t="s">
        <v>382</v>
      </c>
      <c r="J536" s="102" t="s">
        <v>146</v>
      </c>
      <c r="K536" s="103">
        <v>14</v>
      </c>
      <c r="L536" s="104" t="s">
        <v>110</v>
      </c>
      <c r="M536" s="104" t="s">
        <v>147</v>
      </c>
      <c r="N536" s="104" t="s">
        <v>211</v>
      </c>
      <c r="O536" s="110">
        <v>800</v>
      </c>
      <c r="P536" s="110">
        <v>920</v>
      </c>
      <c r="Q536" s="114" t="s">
        <v>458</v>
      </c>
    </row>
    <row r="537" spans="1:17">
      <c r="A537" s="97">
        <v>536</v>
      </c>
      <c r="B537" s="101" t="s">
        <v>212</v>
      </c>
      <c r="C537" s="101">
        <v>46148</v>
      </c>
      <c r="D537" s="101">
        <v>46192</v>
      </c>
      <c r="E537" s="113">
        <v>3987</v>
      </c>
      <c r="F537" s="98" t="s">
        <v>331</v>
      </c>
      <c r="G537" s="99" t="s">
        <v>144</v>
      </c>
      <c r="H537" s="100" t="s">
        <v>465</v>
      </c>
      <c r="I537" s="104" t="s">
        <v>469</v>
      </c>
      <c r="J537" s="102" t="s">
        <v>146</v>
      </c>
      <c r="K537" s="103">
        <v>14</v>
      </c>
      <c r="L537" s="104" t="s">
        <v>110</v>
      </c>
      <c r="M537" s="104" t="s">
        <v>147</v>
      </c>
      <c r="N537" s="104" t="s">
        <v>211</v>
      </c>
      <c r="O537" s="110">
        <v>800</v>
      </c>
      <c r="P537" s="110">
        <v>920</v>
      </c>
      <c r="Q537" s="114" t="s">
        <v>458</v>
      </c>
    </row>
    <row r="538" spans="1:17">
      <c r="A538" s="97">
        <v>537</v>
      </c>
      <c r="B538" s="101" t="s">
        <v>212</v>
      </c>
      <c r="C538" s="101">
        <v>46148</v>
      </c>
      <c r="D538" s="101">
        <v>46192</v>
      </c>
      <c r="E538" s="113">
        <v>4063</v>
      </c>
      <c r="F538" s="98" t="s">
        <v>374</v>
      </c>
      <c r="G538" s="99" t="s">
        <v>144</v>
      </c>
      <c r="H538" s="100" t="s">
        <v>379</v>
      </c>
      <c r="I538" s="104" t="s">
        <v>382</v>
      </c>
      <c r="J538" s="102" t="s">
        <v>146</v>
      </c>
      <c r="K538" s="103">
        <v>14</v>
      </c>
      <c r="L538" s="104" t="s">
        <v>110</v>
      </c>
      <c r="M538" s="104" t="s">
        <v>147</v>
      </c>
      <c r="N538" s="104" t="s">
        <v>211</v>
      </c>
      <c r="O538" s="110">
        <v>800</v>
      </c>
      <c r="P538" s="110">
        <v>920</v>
      </c>
      <c r="Q538" s="114" t="s">
        <v>458</v>
      </c>
    </row>
    <row r="539" spans="1:17">
      <c r="A539" s="97">
        <v>538</v>
      </c>
      <c r="B539" s="101" t="s">
        <v>212</v>
      </c>
      <c r="C539" s="101">
        <v>46148</v>
      </c>
      <c r="D539" s="101">
        <v>46192</v>
      </c>
      <c r="E539" s="113">
        <v>4066</v>
      </c>
      <c r="F539" s="98" t="s">
        <v>482</v>
      </c>
      <c r="G539" s="99" t="s">
        <v>144</v>
      </c>
      <c r="H539" s="100" t="s">
        <v>201</v>
      </c>
      <c r="I539" s="104" t="s">
        <v>488</v>
      </c>
      <c r="J539" s="102" t="s">
        <v>146</v>
      </c>
      <c r="K539" s="103">
        <v>14</v>
      </c>
      <c r="L539" s="104" t="s">
        <v>110</v>
      </c>
      <c r="M539" s="104" t="s">
        <v>147</v>
      </c>
      <c r="N539" s="104" t="s">
        <v>211</v>
      </c>
      <c r="O539" s="110">
        <v>800</v>
      </c>
      <c r="P539" s="110">
        <v>920</v>
      </c>
      <c r="Q539" s="114" t="s">
        <v>458</v>
      </c>
    </row>
    <row r="540" spans="1:17">
      <c r="A540" s="97">
        <v>539</v>
      </c>
      <c r="B540" s="101" t="s">
        <v>212</v>
      </c>
      <c r="C540" s="101">
        <v>46148</v>
      </c>
      <c r="D540" s="101">
        <v>46192</v>
      </c>
      <c r="E540" s="113">
        <v>4076</v>
      </c>
      <c r="F540" s="98" t="s">
        <v>376</v>
      </c>
      <c r="G540" s="99" t="s">
        <v>144</v>
      </c>
      <c r="H540" s="100" t="s">
        <v>303</v>
      </c>
      <c r="I540" s="104" t="s">
        <v>339</v>
      </c>
      <c r="J540" s="102" t="s">
        <v>146</v>
      </c>
      <c r="K540" s="103">
        <v>14</v>
      </c>
      <c r="L540" s="104" t="s">
        <v>110</v>
      </c>
      <c r="M540" s="104" t="s">
        <v>147</v>
      </c>
      <c r="N540" s="104" t="s">
        <v>211</v>
      </c>
      <c r="O540" s="110">
        <v>800</v>
      </c>
      <c r="P540" s="110">
        <v>920</v>
      </c>
      <c r="Q540" s="114" t="s">
        <v>458</v>
      </c>
    </row>
    <row r="541" spans="1:17">
      <c r="A541" s="97">
        <v>540</v>
      </c>
      <c r="B541" s="101" t="s">
        <v>212</v>
      </c>
      <c r="C541" s="101">
        <v>46148</v>
      </c>
      <c r="D541" s="101">
        <v>46192</v>
      </c>
      <c r="E541" s="113">
        <v>4080</v>
      </c>
      <c r="F541" s="98" t="s">
        <v>302</v>
      </c>
      <c r="G541" s="99" t="s">
        <v>144</v>
      </c>
      <c r="H541" s="100" t="s">
        <v>307</v>
      </c>
      <c r="I541" s="104" t="s">
        <v>327</v>
      </c>
      <c r="J541" s="102" t="s">
        <v>146</v>
      </c>
      <c r="K541" s="103">
        <v>14</v>
      </c>
      <c r="L541" s="104" t="s">
        <v>110</v>
      </c>
      <c r="M541" s="104" t="s">
        <v>147</v>
      </c>
      <c r="N541" s="104" t="s">
        <v>211</v>
      </c>
      <c r="O541" s="110">
        <v>800</v>
      </c>
      <c r="P541" s="110">
        <v>920</v>
      </c>
      <c r="Q541" s="114" t="s">
        <v>458</v>
      </c>
    </row>
    <row r="542" spans="1:17">
      <c r="A542" s="97">
        <v>541</v>
      </c>
      <c r="B542" s="101" t="s">
        <v>212</v>
      </c>
      <c r="C542" s="101">
        <v>46148</v>
      </c>
      <c r="D542" s="101">
        <v>46192</v>
      </c>
      <c r="E542" s="113">
        <v>4083</v>
      </c>
      <c r="F542" s="98" t="s">
        <v>257</v>
      </c>
      <c r="G542" s="99" t="s">
        <v>144</v>
      </c>
      <c r="H542" s="100" t="s">
        <v>262</v>
      </c>
      <c r="I542" s="104" t="s">
        <v>485</v>
      </c>
      <c r="J542" s="102" t="s">
        <v>146</v>
      </c>
      <c r="K542" s="103">
        <v>14</v>
      </c>
      <c r="L542" s="104" t="s">
        <v>110</v>
      </c>
      <c r="M542" s="104" t="s">
        <v>147</v>
      </c>
      <c r="N542" s="104" t="s">
        <v>211</v>
      </c>
      <c r="O542" s="110">
        <v>800</v>
      </c>
      <c r="P542" s="110">
        <v>920</v>
      </c>
      <c r="Q542" s="114" t="s">
        <v>458</v>
      </c>
    </row>
    <row r="543" spans="1:17">
      <c r="A543" s="97">
        <v>542</v>
      </c>
      <c r="B543" s="101" t="s">
        <v>212</v>
      </c>
      <c r="C543" s="101">
        <v>46148</v>
      </c>
      <c r="D543" s="101">
        <v>46192</v>
      </c>
      <c r="E543" s="113">
        <v>4087</v>
      </c>
      <c r="F543" s="98" t="s">
        <v>228</v>
      </c>
      <c r="G543" s="99" t="s">
        <v>144</v>
      </c>
      <c r="H543" s="100" t="s">
        <v>202</v>
      </c>
      <c r="I543" s="104" t="s">
        <v>486</v>
      </c>
      <c r="J543" s="102" t="s">
        <v>146</v>
      </c>
      <c r="K543" s="103">
        <v>14</v>
      </c>
      <c r="L543" s="104" t="s">
        <v>110</v>
      </c>
      <c r="M543" s="104" t="s">
        <v>147</v>
      </c>
      <c r="N543" s="104" t="s">
        <v>211</v>
      </c>
      <c r="O543" s="110">
        <v>800</v>
      </c>
      <c r="P543" s="110">
        <v>920</v>
      </c>
      <c r="Q543" s="114" t="s">
        <v>458</v>
      </c>
    </row>
    <row r="544" spans="1:17">
      <c r="A544" s="97">
        <v>543</v>
      </c>
      <c r="B544" s="101" t="s">
        <v>212</v>
      </c>
      <c r="C544" s="101">
        <v>46148</v>
      </c>
      <c r="D544" s="101">
        <v>46192</v>
      </c>
      <c r="E544" s="113">
        <v>4091</v>
      </c>
      <c r="F544" s="98" t="s">
        <v>226</v>
      </c>
      <c r="G544" s="99" t="s">
        <v>144</v>
      </c>
      <c r="H544" s="100" t="s">
        <v>200</v>
      </c>
      <c r="I544" s="104" t="s">
        <v>489</v>
      </c>
      <c r="J544" s="102" t="s">
        <v>146</v>
      </c>
      <c r="K544" s="103">
        <v>14</v>
      </c>
      <c r="L544" s="104" t="s">
        <v>110</v>
      </c>
      <c r="M544" s="104" t="s">
        <v>147</v>
      </c>
      <c r="N544" s="104" t="s">
        <v>211</v>
      </c>
      <c r="O544" s="110">
        <v>800</v>
      </c>
      <c r="P544" s="110">
        <v>920</v>
      </c>
      <c r="Q544" s="114" t="s">
        <v>458</v>
      </c>
    </row>
    <row r="545" spans="1:17">
      <c r="A545" s="97">
        <v>544</v>
      </c>
      <c r="B545" s="101" t="s">
        <v>212</v>
      </c>
      <c r="C545" s="101">
        <v>46148</v>
      </c>
      <c r="D545" s="101">
        <v>46192</v>
      </c>
      <c r="E545" s="113">
        <v>4085</v>
      </c>
      <c r="F545" s="98" t="s">
        <v>257</v>
      </c>
      <c r="G545" s="99" t="s">
        <v>144</v>
      </c>
      <c r="H545" s="100" t="s">
        <v>262</v>
      </c>
      <c r="I545" s="104" t="s">
        <v>485</v>
      </c>
      <c r="J545" s="102" t="s">
        <v>146</v>
      </c>
      <c r="K545" s="103">
        <v>14</v>
      </c>
      <c r="L545" s="104" t="s">
        <v>110</v>
      </c>
      <c r="M545" s="104" t="s">
        <v>147</v>
      </c>
      <c r="N545" s="104" t="s">
        <v>211</v>
      </c>
      <c r="O545" s="110">
        <v>800</v>
      </c>
      <c r="P545" s="110">
        <v>920</v>
      </c>
      <c r="Q545" s="114" t="s">
        <v>458</v>
      </c>
    </row>
    <row r="546" spans="1:17">
      <c r="A546" s="97">
        <v>545</v>
      </c>
      <c r="B546" s="101" t="s">
        <v>212</v>
      </c>
      <c r="C546" s="101">
        <v>46148</v>
      </c>
      <c r="D546" s="101">
        <v>46192</v>
      </c>
      <c r="E546" s="113">
        <v>4113</v>
      </c>
      <c r="F546" s="98" t="s">
        <v>225</v>
      </c>
      <c r="G546" s="99" t="s">
        <v>144</v>
      </c>
      <c r="H546" s="100" t="s">
        <v>201</v>
      </c>
      <c r="I546" s="104" t="s">
        <v>175</v>
      </c>
      <c r="J546" s="102" t="s">
        <v>146</v>
      </c>
      <c r="K546" s="103">
        <v>14</v>
      </c>
      <c r="L546" s="104" t="s">
        <v>110</v>
      </c>
      <c r="M546" s="104" t="s">
        <v>147</v>
      </c>
      <c r="N546" s="104" t="s">
        <v>211</v>
      </c>
      <c r="O546" s="110">
        <v>800</v>
      </c>
      <c r="P546" s="110">
        <v>920</v>
      </c>
      <c r="Q546" s="114" t="s">
        <v>458</v>
      </c>
    </row>
    <row r="547" spans="1:17">
      <c r="A547" s="97">
        <v>546</v>
      </c>
      <c r="B547" s="101" t="s">
        <v>212</v>
      </c>
      <c r="C547" s="101">
        <v>46148</v>
      </c>
      <c r="D547" s="101">
        <v>46192</v>
      </c>
      <c r="E547" s="113">
        <v>4092</v>
      </c>
      <c r="F547" s="98" t="s">
        <v>226</v>
      </c>
      <c r="G547" s="99" t="s">
        <v>144</v>
      </c>
      <c r="H547" s="100" t="s">
        <v>200</v>
      </c>
      <c r="I547" s="104" t="s">
        <v>489</v>
      </c>
      <c r="J547" s="102" t="s">
        <v>146</v>
      </c>
      <c r="K547" s="103">
        <v>14</v>
      </c>
      <c r="L547" s="104" t="s">
        <v>110</v>
      </c>
      <c r="M547" s="104" t="s">
        <v>147</v>
      </c>
      <c r="N547" s="104" t="s">
        <v>211</v>
      </c>
      <c r="O547" s="110">
        <v>800</v>
      </c>
      <c r="P547" s="110">
        <v>920</v>
      </c>
      <c r="Q547" s="114" t="s">
        <v>458</v>
      </c>
    </row>
    <row r="548" spans="1:17">
      <c r="A548" s="97">
        <v>547</v>
      </c>
      <c r="B548" s="101" t="s">
        <v>212</v>
      </c>
      <c r="C548" s="101">
        <v>46148</v>
      </c>
      <c r="D548" s="101">
        <v>46192</v>
      </c>
      <c r="E548" s="113">
        <v>4115</v>
      </c>
      <c r="F548" s="98" t="s">
        <v>482</v>
      </c>
      <c r="G548" s="99" t="s">
        <v>144</v>
      </c>
      <c r="H548" s="100" t="s">
        <v>201</v>
      </c>
      <c r="I548" s="104" t="s">
        <v>490</v>
      </c>
      <c r="J548" s="102" t="s">
        <v>146</v>
      </c>
      <c r="K548" s="103">
        <v>14</v>
      </c>
      <c r="L548" s="104" t="s">
        <v>110</v>
      </c>
      <c r="M548" s="104" t="s">
        <v>147</v>
      </c>
      <c r="N548" s="104" t="s">
        <v>211</v>
      </c>
      <c r="O548" s="110">
        <v>800</v>
      </c>
      <c r="P548" s="110">
        <v>920</v>
      </c>
      <c r="Q548" s="114" t="s">
        <v>458</v>
      </c>
    </row>
    <row r="549" spans="1:17">
      <c r="A549" s="97">
        <v>548</v>
      </c>
      <c r="B549" s="101" t="s">
        <v>212</v>
      </c>
      <c r="C549" s="101">
        <v>46148</v>
      </c>
      <c r="D549" s="101">
        <v>46192</v>
      </c>
      <c r="E549" s="113">
        <v>4112</v>
      </c>
      <c r="F549" s="98" t="s">
        <v>331</v>
      </c>
      <c r="G549" s="99" t="s">
        <v>144</v>
      </c>
      <c r="H549" s="100" t="s">
        <v>465</v>
      </c>
      <c r="I549" s="104" t="s">
        <v>469</v>
      </c>
      <c r="J549" s="102" t="s">
        <v>146</v>
      </c>
      <c r="K549" s="103">
        <v>14</v>
      </c>
      <c r="L549" s="104" t="s">
        <v>110</v>
      </c>
      <c r="M549" s="104" t="s">
        <v>147</v>
      </c>
      <c r="N549" s="104" t="s">
        <v>211</v>
      </c>
      <c r="O549" s="110">
        <v>800</v>
      </c>
      <c r="P549" s="110">
        <v>920</v>
      </c>
      <c r="Q549" s="114" t="s">
        <v>458</v>
      </c>
    </row>
    <row r="550" spans="1:17">
      <c r="A550" s="97">
        <v>549</v>
      </c>
      <c r="B550" s="101" t="s">
        <v>212</v>
      </c>
      <c r="C550" s="101">
        <v>46148</v>
      </c>
      <c r="D550" s="101">
        <v>46192</v>
      </c>
      <c r="E550" s="113">
        <v>4084</v>
      </c>
      <c r="F550" s="98" t="s">
        <v>257</v>
      </c>
      <c r="G550" s="99" t="s">
        <v>144</v>
      </c>
      <c r="H550" s="100" t="s">
        <v>484</v>
      </c>
      <c r="I550" s="104" t="s">
        <v>485</v>
      </c>
      <c r="J550" s="102" t="s">
        <v>146</v>
      </c>
      <c r="K550" s="103">
        <v>14</v>
      </c>
      <c r="L550" s="104" t="s">
        <v>110</v>
      </c>
      <c r="M550" s="104" t="s">
        <v>147</v>
      </c>
      <c r="N550" s="104" t="s">
        <v>211</v>
      </c>
      <c r="O550" s="110">
        <v>800</v>
      </c>
      <c r="P550" s="110">
        <v>920</v>
      </c>
      <c r="Q550" s="114" t="s">
        <v>458</v>
      </c>
    </row>
    <row r="551" spans="1:17">
      <c r="A551" s="97">
        <v>550</v>
      </c>
      <c r="B551" s="101" t="s">
        <v>212</v>
      </c>
      <c r="C551" s="101">
        <v>46148</v>
      </c>
      <c r="D551" s="101">
        <v>46192</v>
      </c>
      <c r="E551" s="113">
        <v>4067</v>
      </c>
      <c r="F551" s="98" t="s">
        <v>482</v>
      </c>
      <c r="G551" s="99" t="s">
        <v>144</v>
      </c>
      <c r="H551" s="100" t="s">
        <v>201</v>
      </c>
      <c r="I551" s="104" t="s">
        <v>488</v>
      </c>
      <c r="J551" s="102" t="s">
        <v>146</v>
      </c>
      <c r="K551" s="103">
        <v>14</v>
      </c>
      <c r="L551" s="104" t="s">
        <v>110</v>
      </c>
      <c r="M551" s="104" t="s">
        <v>147</v>
      </c>
      <c r="N551" s="104" t="s">
        <v>211</v>
      </c>
      <c r="O551" s="110">
        <v>800</v>
      </c>
      <c r="P551" s="110">
        <v>920</v>
      </c>
      <c r="Q551" s="114" t="s">
        <v>458</v>
      </c>
    </row>
    <row r="552" spans="1:17">
      <c r="A552" s="97">
        <v>551</v>
      </c>
      <c r="B552" s="101" t="s">
        <v>212</v>
      </c>
      <c r="C552" s="101">
        <v>46148</v>
      </c>
      <c r="D552" s="101">
        <v>46192</v>
      </c>
      <c r="E552" s="113">
        <v>4064</v>
      </c>
      <c r="F552" s="98" t="s">
        <v>374</v>
      </c>
      <c r="G552" s="99" t="s">
        <v>144</v>
      </c>
      <c r="H552" s="100" t="s">
        <v>379</v>
      </c>
      <c r="I552" s="104" t="s">
        <v>382</v>
      </c>
      <c r="J552" s="102" t="s">
        <v>146</v>
      </c>
      <c r="K552" s="103">
        <v>14</v>
      </c>
      <c r="L552" s="104" t="s">
        <v>110</v>
      </c>
      <c r="M552" s="104" t="s">
        <v>147</v>
      </c>
      <c r="N552" s="104" t="s">
        <v>211</v>
      </c>
      <c r="O552" s="110">
        <v>800</v>
      </c>
      <c r="P552" s="110">
        <v>920</v>
      </c>
      <c r="Q552" s="114" t="s">
        <v>458</v>
      </c>
    </row>
    <row r="553" spans="1:17">
      <c r="A553" s="97">
        <v>552</v>
      </c>
      <c r="B553" s="101" t="s">
        <v>212</v>
      </c>
      <c r="C553" s="101">
        <v>46148</v>
      </c>
      <c r="D553" s="101">
        <v>46192</v>
      </c>
      <c r="E553" s="113">
        <v>4081</v>
      </c>
      <c r="F553" s="98" t="s">
        <v>302</v>
      </c>
      <c r="G553" s="99" t="s">
        <v>144</v>
      </c>
      <c r="H553" s="100" t="s">
        <v>307</v>
      </c>
      <c r="I553" s="104" t="s">
        <v>327</v>
      </c>
      <c r="J553" s="102" t="s">
        <v>146</v>
      </c>
      <c r="K553" s="103">
        <v>14</v>
      </c>
      <c r="L553" s="104" t="s">
        <v>110</v>
      </c>
      <c r="M553" s="104" t="s">
        <v>147</v>
      </c>
      <c r="N553" s="104" t="s">
        <v>211</v>
      </c>
      <c r="O553" s="110">
        <v>800</v>
      </c>
      <c r="P553" s="110">
        <v>920</v>
      </c>
      <c r="Q553" s="114" t="s">
        <v>458</v>
      </c>
    </row>
    <row r="554" spans="1:17">
      <c r="A554" s="97">
        <v>553</v>
      </c>
      <c r="B554" s="101" t="s">
        <v>212</v>
      </c>
      <c r="C554" s="101">
        <v>46148</v>
      </c>
      <c r="D554" s="101">
        <v>46192</v>
      </c>
      <c r="E554" s="113">
        <v>4077</v>
      </c>
      <c r="F554" s="98" t="s">
        <v>376</v>
      </c>
      <c r="G554" s="99" t="s">
        <v>144</v>
      </c>
      <c r="H554" s="100" t="s">
        <v>303</v>
      </c>
      <c r="I554" s="104" t="s">
        <v>339</v>
      </c>
      <c r="J554" s="102" t="s">
        <v>146</v>
      </c>
      <c r="K554" s="103">
        <v>14</v>
      </c>
      <c r="L554" s="104" t="s">
        <v>110</v>
      </c>
      <c r="M554" s="104" t="s">
        <v>147</v>
      </c>
      <c r="N554" s="104" t="s">
        <v>211</v>
      </c>
      <c r="O554" s="110">
        <v>800</v>
      </c>
      <c r="P554" s="110">
        <v>920</v>
      </c>
      <c r="Q554" s="114" t="s">
        <v>458</v>
      </c>
    </row>
    <row r="555" spans="1:17">
      <c r="A555" s="97">
        <v>554</v>
      </c>
      <c r="B555" s="101" t="s">
        <v>212</v>
      </c>
      <c r="C555" s="101">
        <v>46148</v>
      </c>
      <c r="D555" s="101">
        <v>46192</v>
      </c>
      <c r="E555" s="113">
        <v>4128</v>
      </c>
      <c r="F555" s="98" t="s">
        <v>374</v>
      </c>
      <c r="G555" s="99" t="s">
        <v>144</v>
      </c>
      <c r="H555" s="100" t="s">
        <v>379</v>
      </c>
      <c r="I555" s="104" t="s">
        <v>382</v>
      </c>
      <c r="J555" s="102" t="s">
        <v>146</v>
      </c>
      <c r="K555" s="103">
        <v>14</v>
      </c>
      <c r="L555" s="104" t="s">
        <v>110</v>
      </c>
      <c r="M555" s="104" t="s">
        <v>147</v>
      </c>
      <c r="N555" s="104" t="s">
        <v>211</v>
      </c>
      <c r="O555" s="110">
        <v>800</v>
      </c>
      <c r="P555" s="110">
        <v>920</v>
      </c>
      <c r="Q555" s="114" t="s">
        <v>458</v>
      </c>
    </row>
    <row r="556" spans="1:17">
      <c r="A556" s="97">
        <v>555</v>
      </c>
      <c r="B556" s="101" t="s">
        <v>212</v>
      </c>
      <c r="C556" s="101">
        <v>46148</v>
      </c>
      <c r="D556" s="101">
        <v>46192</v>
      </c>
      <c r="E556" s="111">
        <v>4146</v>
      </c>
      <c r="F556" s="98" t="s">
        <v>298</v>
      </c>
      <c r="G556" s="99" t="s">
        <v>144</v>
      </c>
      <c r="H556" s="100" t="s">
        <v>199</v>
      </c>
      <c r="I556" s="104" t="s">
        <v>477</v>
      </c>
      <c r="J556" s="102" t="s">
        <v>146</v>
      </c>
      <c r="K556" s="103">
        <v>7</v>
      </c>
      <c r="L556" s="104" t="s">
        <v>110</v>
      </c>
      <c r="M556" s="104" t="s">
        <v>147</v>
      </c>
      <c r="N556" s="104" t="s">
        <v>211</v>
      </c>
      <c r="O556" s="110">
        <v>800</v>
      </c>
      <c r="P556" s="110">
        <v>920</v>
      </c>
      <c r="Q556" s="114" t="s">
        <v>458</v>
      </c>
    </row>
    <row r="557" spans="1:17">
      <c r="A557" s="97">
        <v>556</v>
      </c>
      <c r="B557" s="101" t="s">
        <v>507</v>
      </c>
      <c r="C557" s="101">
        <v>46198</v>
      </c>
      <c r="D557" s="117">
        <v>46193</v>
      </c>
      <c r="E557" s="106">
        <v>9602</v>
      </c>
      <c r="F557" s="98" t="s">
        <v>164</v>
      </c>
      <c r="G557" s="99" t="s">
        <v>144</v>
      </c>
      <c r="H557" s="105">
        <v>12</v>
      </c>
      <c r="I557" s="107" t="s">
        <v>174</v>
      </c>
      <c r="J557" s="102" t="s">
        <v>180</v>
      </c>
      <c r="K557" s="103">
        <v>30</v>
      </c>
      <c r="L557" s="104" t="s">
        <v>100</v>
      </c>
      <c r="M557" s="104" t="s">
        <v>139</v>
      </c>
      <c r="N557" s="104"/>
      <c r="O557" s="109"/>
      <c r="P557" s="109"/>
      <c r="Q557" s="114" t="s">
        <v>458</v>
      </c>
    </row>
    <row r="558" spans="1:17">
      <c r="A558" s="97">
        <v>557</v>
      </c>
      <c r="B558" s="101" t="s">
        <v>507</v>
      </c>
      <c r="C558" s="101">
        <v>46198</v>
      </c>
      <c r="D558" s="117">
        <v>46193</v>
      </c>
      <c r="E558" s="106">
        <v>9601</v>
      </c>
      <c r="F558" s="98" t="s">
        <v>170</v>
      </c>
      <c r="G558" s="99" t="s">
        <v>144</v>
      </c>
      <c r="H558" s="105">
        <v>5</v>
      </c>
      <c r="I558" s="107" t="s">
        <v>172</v>
      </c>
      <c r="J558" s="102" t="s">
        <v>180</v>
      </c>
      <c r="K558" s="103">
        <v>30</v>
      </c>
      <c r="L558" s="104" t="s">
        <v>100</v>
      </c>
      <c r="M558" s="104" t="s">
        <v>139</v>
      </c>
      <c r="N558" s="104"/>
      <c r="O558" s="109"/>
      <c r="P558" s="109"/>
      <c r="Q558" s="114" t="s">
        <v>458</v>
      </c>
    </row>
    <row r="559" spans="1:17">
      <c r="A559" s="97">
        <v>558</v>
      </c>
      <c r="B559" s="101" t="s">
        <v>212</v>
      </c>
      <c r="C559" s="101">
        <v>46148</v>
      </c>
      <c r="D559" s="101">
        <v>46193</v>
      </c>
      <c r="E559" s="113">
        <v>4120</v>
      </c>
      <c r="F559" s="98" t="s">
        <v>223</v>
      </c>
      <c r="G559" s="99" t="s">
        <v>144</v>
      </c>
      <c r="H559" s="100" t="s">
        <v>197</v>
      </c>
      <c r="I559" s="104" t="s">
        <v>204</v>
      </c>
      <c r="J559" s="102" t="s">
        <v>146</v>
      </c>
      <c r="K559" s="103">
        <v>7</v>
      </c>
      <c r="L559" s="104" t="s">
        <v>110</v>
      </c>
      <c r="M559" s="104" t="s">
        <v>147</v>
      </c>
      <c r="N559" s="104" t="s">
        <v>211</v>
      </c>
      <c r="O559" s="110">
        <v>800</v>
      </c>
      <c r="P559" s="110">
        <v>920</v>
      </c>
      <c r="Q559" s="114" t="s">
        <v>458</v>
      </c>
    </row>
    <row r="560" spans="1:17">
      <c r="A560" s="97">
        <v>559</v>
      </c>
      <c r="B560" s="101" t="s">
        <v>212</v>
      </c>
      <c r="C560" s="101">
        <v>46148</v>
      </c>
      <c r="D560" s="101">
        <v>46193</v>
      </c>
      <c r="E560" s="113">
        <v>4134</v>
      </c>
      <c r="F560" s="98" t="s">
        <v>245</v>
      </c>
      <c r="G560" s="99" t="s">
        <v>144</v>
      </c>
      <c r="H560" s="100" t="s">
        <v>249</v>
      </c>
      <c r="I560" s="104" t="s">
        <v>274</v>
      </c>
      <c r="J560" s="102" t="s">
        <v>146</v>
      </c>
      <c r="K560" s="103">
        <v>7</v>
      </c>
      <c r="L560" s="104" t="s">
        <v>110</v>
      </c>
      <c r="M560" s="104" t="s">
        <v>147</v>
      </c>
      <c r="N560" s="104" t="s">
        <v>211</v>
      </c>
      <c r="O560" s="110">
        <v>800</v>
      </c>
      <c r="P560" s="110">
        <v>920</v>
      </c>
      <c r="Q560" s="114" t="s">
        <v>458</v>
      </c>
    </row>
    <row r="561" spans="1:17">
      <c r="A561" s="97">
        <v>560</v>
      </c>
      <c r="B561" s="101" t="s">
        <v>212</v>
      </c>
      <c r="C561" s="101">
        <v>46148</v>
      </c>
      <c r="D561" s="101">
        <v>46193</v>
      </c>
      <c r="E561" s="113">
        <v>4135</v>
      </c>
      <c r="F561" s="98" t="s">
        <v>245</v>
      </c>
      <c r="G561" s="99" t="s">
        <v>144</v>
      </c>
      <c r="H561" s="100" t="s">
        <v>249</v>
      </c>
      <c r="I561" s="104" t="s">
        <v>274</v>
      </c>
      <c r="J561" s="102" t="s">
        <v>146</v>
      </c>
      <c r="K561" s="103">
        <v>7</v>
      </c>
      <c r="L561" s="104" t="s">
        <v>110</v>
      </c>
      <c r="M561" s="104" t="s">
        <v>147</v>
      </c>
      <c r="N561" s="104" t="s">
        <v>211</v>
      </c>
      <c r="O561" s="110">
        <v>800</v>
      </c>
      <c r="P561" s="110">
        <v>920</v>
      </c>
      <c r="Q561" s="114" t="s">
        <v>458</v>
      </c>
    </row>
    <row r="562" spans="1:17">
      <c r="A562" s="97">
        <v>561</v>
      </c>
      <c r="B562" s="101" t="s">
        <v>212</v>
      </c>
      <c r="C562" s="101">
        <v>46148</v>
      </c>
      <c r="D562" s="101">
        <v>46193</v>
      </c>
      <c r="E562" s="113">
        <v>4133</v>
      </c>
      <c r="F562" s="98" t="s">
        <v>245</v>
      </c>
      <c r="G562" s="99" t="s">
        <v>144</v>
      </c>
      <c r="H562" s="100" t="s">
        <v>249</v>
      </c>
      <c r="I562" s="104" t="s">
        <v>274</v>
      </c>
      <c r="J562" s="102" t="s">
        <v>146</v>
      </c>
      <c r="K562" s="103">
        <v>7</v>
      </c>
      <c r="L562" s="104" t="s">
        <v>110</v>
      </c>
      <c r="M562" s="104" t="s">
        <v>147</v>
      </c>
      <c r="N562" s="104" t="s">
        <v>211</v>
      </c>
      <c r="O562" s="110">
        <v>800</v>
      </c>
      <c r="P562" s="110">
        <v>920</v>
      </c>
      <c r="Q562" s="114" t="s">
        <v>458</v>
      </c>
    </row>
    <row r="563" spans="1:17">
      <c r="A563" s="97">
        <v>562</v>
      </c>
      <c r="B563" s="101" t="s">
        <v>212</v>
      </c>
      <c r="C563" s="101">
        <v>46148</v>
      </c>
      <c r="D563" s="101">
        <v>46193</v>
      </c>
      <c r="E563" s="113">
        <v>4121</v>
      </c>
      <c r="F563" s="98" t="s">
        <v>298</v>
      </c>
      <c r="G563" s="99" t="s">
        <v>144</v>
      </c>
      <c r="H563" s="100" t="s">
        <v>199</v>
      </c>
      <c r="I563" s="104" t="s">
        <v>477</v>
      </c>
      <c r="J563" s="102" t="s">
        <v>146</v>
      </c>
      <c r="K563" s="103">
        <v>7</v>
      </c>
      <c r="L563" s="104" t="s">
        <v>110</v>
      </c>
      <c r="M563" s="104" t="s">
        <v>147</v>
      </c>
      <c r="N563" s="104" t="s">
        <v>211</v>
      </c>
      <c r="O563" s="110">
        <v>800</v>
      </c>
      <c r="P563" s="110">
        <v>920</v>
      </c>
      <c r="Q563" s="114" t="s">
        <v>458</v>
      </c>
    </row>
    <row r="564" spans="1:17" s="126" customFormat="1" ht="15" customHeight="1">
      <c r="A564" s="97">
        <v>563</v>
      </c>
      <c r="B564" s="118" t="s">
        <v>184</v>
      </c>
      <c r="C564" s="118">
        <v>46148</v>
      </c>
      <c r="D564" s="117">
        <v>46195</v>
      </c>
      <c r="E564" s="119">
        <v>61161</v>
      </c>
      <c r="F564" s="115" t="s">
        <v>540</v>
      </c>
      <c r="G564" s="120" t="s">
        <v>144</v>
      </c>
      <c r="H564" s="128" t="s">
        <v>541</v>
      </c>
      <c r="I564" s="124" t="s">
        <v>542</v>
      </c>
      <c r="J564" s="122" t="s">
        <v>250</v>
      </c>
      <c r="K564" s="123">
        <v>30</v>
      </c>
      <c r="L564" s="124" t="s">
        <v>110</v>
      </c>
      <c r="M564" s="124" t="s">
        <v>139</v>
      </c>
      <c r="N564" s="124"/>
      <c r="O564" s="125"/>
      <c r="P564" s="125"/>
      <c r="Q564" s="121" t="s">
        <v>458</v>
      </c>
    </row>
    <row r="565" spans="1:17" s="126" customFormat="1" ht="15" customHeight="1">
      <c r="A565" s="97">
        <v>564</v>
      </c>
      <c r="B565" s="118" t="s">
        <v>184</v>
      </c>
      <c r="C565" s="118">
        <v>46148</v>
      </c>
      <c r="D565" s="117">
        <v>46195</v>
      </c>
      <c r="E565" s="119">
        <v>65162</v>
      </c>
      <c r="F565" s="115" t="s">
        <v>540</v>
      </c>
      <c r="G565" s="120" t="s">
        <v>144</v>
      </c>
      <c r="H565" s="128" t="s">
        <v>541</v>
      </c>
      <c r="I565" s="124" t="s">
        <v>542</v>
      </c>
      <c r="J565" s="122" t="s">
        <v>250</v>
      </c>
      <c r="K565" s="123">
        <v>30</v>
      </c>
      <c r="L565" s="124" t="s">
        <v>110</v>
      </c>
      <c r="M565" s="124" t="s">
        <v>139</v>
      </c>
      <c r="N565" s="124"/>
      <c r="O565" s="125"/>
      <c r="P565" s="125"/>
      <c r="Q565" s="121" t="s">
        <v>458</v>
      </c>
    </row>
    <row r="566" spans="1:17" s="126" customFormat="1" ht="15" customHeight="1">
      <c r="A566" s="97">
        <v>565</v>
      </c>
      <c r="B566" s="118" t="s">
        <v>184</v>
      </c>
      <c r="C566" s="118">
        <v>46148</v>
      </c>
      <c r="D566" s="117">
        <v>46195</v>
      </c>
      <c r="E566" s="119">
        <v>65163</v>
      </c>
      <c r="F566" s="115" t="s">
        <v>540</v>
      </c>
      <c r="G566" s="120" t="s">
        <v>144</v>
      </c>
      <c r="H566" s="128" t="s">
        <v>541</v>
      </c>
      <c r="I566" s="124" t="s">
        <v>542</v>
      </c>
      <c r="J566" s="122" t="s">
        <v>250</v>
      </c>
      <c r="K566" s="123">
        <v>30</v>
      </c>
      <c r="L566" s="124" t="s">
        <v>110</v>
      </c>
      <c r="M566" s="124" t="s">
        <v>139</v>
      </c>
      <c r="N566" s="124"/>
      <c r="O566" s="125"/>
      <c r="P566" s="125"/>
      <c r="Q566" s="121" t="s">
        <v>458</v>
      </c>
    </row>
    <row r="567" spans="1:17" s="126" customFormat="1" ht="15" customHeight="1">
      <c r="A567" s="97">
        <v>566</v>
      </c>
      <c r="B567" s="118" t="s">
        <v>184</v>
      </c>
      <c r="C567" s="118">
        <v>46148</v>
      </c>
      <c r="D567" s="117">
        <v>46195</v>
      </c>
      <c r="E567" s="119">
        <v>65164</v>
      </c>
      <c r="F567" s="115" t="s">
        <v>540</v>
      </c>
      <c r="G567" s="120" t="s">
        <v>144</v>
      </c>
      <c r="H567" s="128" t="s">
        <v>541</v>
      </c>
      <c r="I567" s="124" t="s">
        <v>542</v>
      </c>
      <c r="J567" s="122" t="s">
        <v>250</v>
      </c>
      <c r="K567" s="123">
        <v>30</v>
      </c>
      <c r="L567" s="124" t="s">
        <v>110</v>
      </c>
      <c r="M567" s="124" t="s">
        <v>139</v>
      </c>
      <c r="N567" s="124"/>
      <c r="O567" s="125"/>
      <c r="P567" s="125"/>
      <c r="Q567" s="121" t="s">
        <v>458</v>
      </c>
    </row>
    <row r="568" spans="1:17" s="126" customFormat="1" ht="15" customHeight="1">
      <c r="A568" s="97">
        <v>567</v>
      </c>
      <c r="B568" s="118" t="s">
        <v>184</v>
      </c>
      <c r="C568" s="118">
        <v>46148</v>
      </c>
      <c r="D568" s="117">
        <v>46195</v>
      </c>
      <c r="E568" s="119">
        <v>65165</v>
      </c>
      <c r="F568" s="115" t="s">
        <v>540</v>
      </c>
      <c r="G568" s="120" t="s">
        <v>144</v>
      </c>
      <c r="H568" s="128" t="s">
        <v>541</v>
      </c>
      <c r="I568" s="124" t="s">
        <v>542</v>
      </c>
      <c r="J568" s="122" t="s">
        <v>250</v>
      </c>
      <c r="K568" s="123">
        <v>30</v>
      </c>
      <c r="L568" s="124" t="s">
        <v>110</v>
      </c>
      <c r="M568" s="124" t="s">
        <v>139</v>
      </c>
      <c r="N568" s="124"/>
      <c r="O568" s="125"/>
      <c r="P568" s="125"/>
      <c r="Q568" s="121" t="s">
        <v>458</v>
      </c>
    </row>
    <row r="569" spans="1:17">
      <c r="A569" s="97">
        <v>568</v>
      </c>
      <c r="B569" s="101" t="s">
        <v>507</v>
      </c>
      <c r="C569" s="101">
        <v>46198</v>
      </c>
      <c r="D569" s="127">
        <v>46195</v>
      </c>
      <c r="E569" s="106">
        <v>9604</v>
      </c>
      <c r="F569" s="98" t="s">
        <v>164</v>
      </c>
      <c r="G569" s="99" t="s">
        <v>144</v>
      </c>
      <c r="H569" s="105">
        <v>12</v>
      </c>
      <c r="I569" s="107" t="s">
        <v>174</v>
      </c>
      <c r="J569" s="102" t="s">
        <v>180</v>
      </c>
      <c r="K569" s="103">
        <v>30</v>
      </c>
      <c r="L569" s="104" t="s">
        <v>100</v>
      </c>
      <c r="M569" s="104" t="s">
        <v>139</v>
      </c>
      <c r="N569" s="104"/>
      <c r="O569" s="109"/>
      <c r="P569" s="109"/>
      <c r="Q569" s="114" t="s">
        <v>458</v>
      </c>
    </row>
    <row r="570" spans="1:17">
      <c r="A570" s="97">
        <v>569</v>
      </c>
      <c r="B570" s="101" t="s">
        <v>507</v>
      </c>
      <c r="C570" s="101">
        <v>46198</v>
      </c>
      <c r="D570" s="127">
        <v>46195</v>
      </c>
      <c r="E570" s="106">
        <v>9603</v>
      </c>
      <c r="F570" s="98" t="s">
        <v>508</v>
      </c>
      <c r="G570" s="99" t="s">
        <v>144</v>
      </c>
      <c r="H570" s="105">
        <v>3</v>
      </c>
      <c r="I570" s="107" t="s">
        <v>509</v>
      </c>
      <c r="J570" s="102" t="s">
        <v>180</v>
      </c>
      <c r="K570" s="103">
        <v>60</v>
      </c>
      <c r="L570" s="104" t="s">
        <v>100</v>
      </c>
      <c r="M570" s="104" t="s">
        <v>139</v>
      </c>
      <c r="N570" s="104"/>
      <c r="O570" s="109"/>
      <c r="P570" s="109"/>
      <c r="Q570" s="114" t="s">
        <v>458</v>
      </c>
    </row>
    <row r="571" spans="1:17">
      <c r="A571" s="97">
        <v>570</v>
      </c>
      <c r="B571" s="101" t="s">
        <v>507</v>
      </c>
      <c r="C571" s="101">
        <v>46198</v>
      </c>
      <c r="D571" s="127">
        <v>46195</v>
      </c>
      <c r="E571" s="106">
        <v>9605</v>
      </c>
      <c r="F571" s="98" t="s">
        <v>170</v>
      </c>
      <c r="G571" s="99" t="s">
        <v>144</v>
      </c>
      <c r="H571" s="105">
        <v>5</v>
      </c>
      <c r="I571" s="107" t="s">
        <v>172</v>
      </c>
      <c r="J571" s="102" t="s">
        <v>180</v>
      </c>
      <c r="K571" s="103">
        <v>30</v>
      </c>
      <c r="L571" s="104" t="s">
        <v>100</v>
      </c>
      <c r="M571" s="104" t="s">
        <v>139</v>
      </c>
      <c r="N571" s="104"/>
      <c r="O571" s="109"/>
      <c r="P571" s="109"/>
      <c r="Q571" s="114" t="s">
        <v>458</v>
      </c>
    </row>
    <row r="572" spans="1:17">
      <c r="A572" s="97">
        <v>571</v>
      </c>
      <c r="B572" s="101" t="s">
        <v>212</v>
      </c>
      <c r="C572" s="101">
        <v>46148</v>
      </c>
      <c r="D572" s="101">
        <v>46195</v>
      </c>
      <c r="E572" s="113">
        <v>4159</v>
      </c>
      <c r="F572" s="98" t="s">
        <v>321</v>
      </c>
      <c r="G572" s="99" t="s">
        <v>144</v>
      </c>
      <c r="H572" s="100" t="s">
        <v>306</v>
      </c>
      <c r="I572" s="104" t="s">
        <v>325</v>
      </c>
      <c r="J572" s="102" t="s">
        <v>146</v>
      </c>
      <c r="K572" s="103">
        <v>14</v>
      </c>
      <c r="L572" s="104" t="s">
        <v>110</v>
      </c>
      <c r="M572" s="104" t="s">
        <v>147</v>
      </c>
      <c r="N572" s="104" t="s">
        <v>211</v>
      </c>
      <c r="O572" s="110">
        <v>1480</v>
      </c>
      <c r="P572" s="110">
        <v>1555</v>
      </c>
      <c r="Q572" s="114" t="s">
        <v>458</v>
      </c>
    </row>
    <row r="573" spans="1:17">
      <c r="A573" s="97">
        <v>572</v>
      </c>
      <c r="B573" s="101" t="s">
        <v>212</v>
      </c>
      <c r="C573" s="101">
        <v>46148</v>
      </c>
      <c r="D573" s="101">
        <v>46195</v>
      </c>
      <c r="E573" s="113">
        <v>4153</v>
      </c>
      <c r="F573" s="98" t="s">
        <v>362</v>
      </c>
      <c r="G573" s="99" t="s">
        <v>144</v>
      </c>
      <c r="H573" s="100" t="s">
        <v>260</v>
      </c>
      <c r="I573" s="104" t="s">
        <v>288</v>
      </c>
      <c r="J573" s="102" t="s">
        <v>146</v>
      </c>
      <c r="K573" s="103">
        <v>14</v>
      </c>
      <c r="L573" s="104" t="s">
        <v>110</v>
      </c>
      <c r="M573" s="104" t="s">
        <v>147</v>
      </c>
      <c r="N573" s="104" t="s">
        <v>211</v>
      </c>
      <c r="O573" s="110">
        <v>1480</v>
      </c>
      <c r="P573" s="110">
        <v>1555</v>
      </c>
      <c r="Q573" s="114" t="s">
        <v>458</v>
      </c>
    </row>
    <row r="574" spans="1:17">
      <c r="A574" s="97">
        <v>573</v>
      </c>
      <c r="B574" s="101" t="s">
        <v>212</v>
      </c>
      <c r="C574" s="101">
        <v>46148</v>
      </c>
      <c r="D574" s="101">
        <v>46195</v>
      </c>
      <c r="E574" s="113">
        <v>4156</v>
      </c>
      <c r="F574" s="98" t="s">
        <v>374</v>
      </c>
      <c r="G574" s="99" t="s">
        <v>144</v>
      </c>
      <c r="H574" s="100" t="s">
        <v>379</v>
      </c>
      <c r="I574" s="104" t="s">
        <v>382</v>
      </c>
      <c r="J574" s="102" t="s">
        <v>146</v>
      </c>
      <c r="K574" s="103">
        <v>14</v>
      </c>
      <c r="L574" s="104" t="s">
        <v>110</v>
      </c>
      <c r="M574" s="104" t="s">
        <v>147</v>
      </c>
      <c r="N574" s="104" t="s">
        <v>211</v>
      </c>
      <c r="O574" s="110">
        <v>1230</v>
      </c>
      <c r="P574" s="110">
        <v>1290</v>
      </c>
      <c r="Q574" s="114" t="s">
        <v>458</v>
      </c>
    </row>
    <row r="575" spans="1:17">
      <c r="A575" s="97">
        <v>574</v>
      </c>
      <c r="B575" s="101" t="s">
        <v>212</v>
      </c>
      <c r="C575" s="101">
        <v>46148</v>
      </c>
      <c r="D575" s="101">
        <v>46195</v>
      </c>
      <c r="E575" s="113">
        <v>4147</v>
      </c>
      <c r="F575" s="98" t="s">
        <v>284</v>
      </c>
      <c r="G575" s="99" t="s">
        <v>144</v>
      </c>
      <c r="H575" s="100" t="s">
        <v>247</v>
      </c>
      <c r="I575" s="104" t="s">
        <v>272</v>
      </c>
      <c r="J575" s="102" t="s">
        <v>146</v>
      </c>
      <c r="K575" s="103">
        <v>14</v>
      </c>
      <c r="L575" s="104" t="s">
        <v>110</v>
      </c>
      <c r="M575" s="104" t="s">
        <v>147</v>
      </c>
      <c r="N575" s="104" t="s">
        <v>211</v>
      </c>
      <c r="O575" s="110">
        <v>1230</v>
      </c>
      <c r="P575" s="110">
        <v>1290</v>
      </c>
      <c r="Q575" s="114" t="s">
        <v>458</v>
      </c>
    </row>
    <row r="576" spans="1:17">
      <c r="A576" s="97">
        <v>575</v>
      </c>
      <c r="B576" s="101" t="s">
        <v>212</v>
      </c>
      <c r="C576" s="101">
        <v>46148</v>
      </c>
      <c r="D576" s="101">
        <v>46195</v>
      </c>
      <c r="E576" s="113">
        <v>4150</v>
      </c>
      <c r="F576" s="98" t="s">
        <v>222</v>
      </c>
      <c r="G576" s="99" t="s">
        <v>144</v>
      </c>
      <c r="H576" s="100" t="s">
        <v>142</v>
      </c>
      <c r="I576" s="104" t="s">
        <v>215</v>
      </c>
      <c r="J576" s="102" t="s">
        <v>146</v>
      </c>
      <c r="K576" s="103">
        <v>7</v>
      </c>
      <c r="L576" s="104" t="s">
        <v>110</v>
      </c>
      <c r="M576" s="104" t="s">
        <v>147</v>
      </c>
      <c r="N576" s="104" t="s">
        <v>211</v>
      </c>
      <c r="O576" s="110">
        <v>1230</v>
      </c>
      <c r="P576" s="110">
        <v>1290</v>
      </c>
      <c r="Q576" s="114" t="s">
        <v>458</v>
      </c>
    </row>
    <row r="577" spans="1:17">
      <c r="A577" s="97">
        <v>576</v>
      </c>
      <c r="B577" s="101" t="s">
        <v>212</v>
      </c>
      <c r="C577" s="101">
        <v>46148</v>
      </c>
      <c r="D577" s="101">
        <v>46195</v>
      </c>
      <c r="E577" s="113">
        <v>4152</v>
      </c>
      <c r="F577" s="98" t="s">
        <v>362</v>
      </c>
      <c r="G577" s="99" t="s">
        <v>144</v>
      </c>
      <c r="H577" s="100" t="s">
        <v>260</v>
      </c>
      <c r="I577" s="104" t="s">
        <v>288</v>
      </c>
      <c r="J577" s="102" t="s">
        <v>146</v>
      </c>
      <c r="K577" s="103">
        <v>14</v>
      </c>
      <c r="L577" s="104" t="s">
        <v>110</v>
      </c>
      <c r="M577" s="104" t="s">
        <v>147</v>
      </c>
      <c r="N577" s="104" t="s">
        <v>211</v>
      </c>
      <c r="O577" s="110">
        <v>1230</v>
      </c>
      <c r="P577" s="110">
        <v>1290</v>
      </c>
      <c r="Q577" s="114" t="s">
        <v>458</v>
      </c>
    </row>
    <row r="578" spans="1:17">
      <c r="A578" s="97">
        <v>577</v>
      </c>
      <c r="B578" s="101" t="s">
        <v>212</v>
      </c>
      <c r="C578" s="101">
        <v>46148</v>
      </c>
      <c r="D578" s="101">
        <v>46195</v>
      </c>
      <c r="E578" s="113">
        <v>4155</v>
      </c>
      <c r="F578" s="98" t="s">
        <v>374</v>
      </c>
      <c r="G578" s="99" t="s">
        <v>144</v>
      </c>
      <c r="H578" s="100" t="s">
        <v>379</v>
      </c>
      <c r="I578" s="104" t="s">
        <v>382</v>
      </c>
      <c r="J578" s="102" t="s">
        <v>146</v>
      </c>
      <c r="K578" s="103">
        <v>14</v>
      </c>
      <c r="L578" s="104" t="s">
        <v>110</v>
      </c>
      <c r="M578" s="104" t="s">
        <v>147</v>
      </c>
      <c r="N578" s="104" t="s">
        <v>211</v>
      </c>
      <c r="O578" s="110">
        <v>1230</v>
      </c>
      <c r="P578" s="110">
        <v>1290</v>
      </c>
      <c r="Q578" s="114" t="s">
        <v>458</v>
      </c>
    </row>
    <row r="579" spans="1:17">
      <c r="A579" s="97">
        <v>578</v>
      </c>
      <c r="B579" s="101" t="s">
        <v>212</v>
      </c>
      <c r="C579" s="101">
        <v>46148</v>
      </c>
      <c r="D579" s="101">
        <v>46195</v>
      </c>
      <c r="E579" s="113">
        <v>4146</v>
      </c>
      <c r="F579" s="98" t="s">
        <v>284</v>
      </c>
      <c r="G579" s="99" t="s">
        <v>144</v>
      </c>
      <c r="H579" s="100" t="s">
        <v>247</v>
      </c>
      <c r="I579" s="104" t="s">
        <v>272</v>
      </c>
      <c r="J579" s="102" t="s">
        <v>146</v>
      </c>
      <c r="K579" s="103">
        <v>14</v>
      </c>
      <c r="L579" s="104" t="s">
        <v>110</v>
      </c>
      <c r="M579" s="104" t="s">
        <v>147</v>
      </c>
      <c r="N579" s="104" t="s">
        <v>211</v>
      </c>
      <c r="O579" s="110">
        <v>1230</v>
      </c>
      <c r="P579" s="110">
        <v>1290</v>
      </c>
      <c r="Q579" s="114" t="s">
        <v>458</v>
      </c>
    </row>
    <row r="580" spans="1:17">
      <c r="A580" s="97">
        <v>579</v>
      </c>
      <c r="B580" s="101" t="s">
        <v>212</v>
      </c>
      <c r="C580" s="101">
        <v>46148</v>
      </c>
      <c r="D580" s="101">
        <v>46195</v>
      </c>
      <c r="E580" s="113">
        <v>4131</v>
      </c>
      <c r="F580" s="98" t="s">
        <v>321</v>
      </c>
      <c r="G580" s="99" t="s">
        <v>144</v>
      </c>
      <c r="H580" s="100" t="s">
        <v>306</v>
      </c>
      <c r="I580" s="104" t="s">
        <v>325</v>
      </c>
      <c r="J580" s="102" t="s">
        <v>146</v>
      </c>
      <c r="K580" s="103">
        <v>14</v>
      </c>
      <c r="L580" s="104" t="s">
        <v>110</v>
      </c>
      <c r="M580" s="104" t="s">
        <v>147</v>
      </c>
      <c r="N580" s="104" t="s">
        <v>211</v>
      </c>
      <c r="O580" s="110">
        <v>1230</v>
      </c>
      <c r="P580" s="110">
        <v>1290</v>
      </c>
      <c r="Q580" s="114" t="s">
        <v>458</v>
      </c>
    </row>
    <row r="581" spans="1:17">
      <c r="A581" s="97">
        <v>580</v>
      </c>
      <c r="B581" s="101" t="s">
        <v>212</v>
      </c>
      <c r="C581" s="101">
        <v>46148</v>
      </c>
      <c r="D581" s="101">
        <v>46195</v>
      </c>
      <c r="E581" s="113">
        <v>4149</v>
      </c>
      <c r="F581" s="98" t="s">
        <v>222</v>
      </c>
      <c r="G581" s="99" t="s">
        <v>144</v>
      </c>
      <c r="H581" s="100" t="s">
        <v>142</v>
      </c>
      <c r="I581" s="104" t="s">
        <v>215</v>
      </c>
      <c r="J581" s="102" t="s">
        <v>146</v>
      </c>
      <c r="K581" s="103">
        <v>7</v>
      </c>
      <c r="L581" s="104" t="s">
        <v>110</v>
      </c>
      <c r="M581" s="104" t="s">
        <v>147</v>
      </c>
      <c r="N581" s="104" t="s">
        <v>211</v>
      </c>
      <c r="O581" s="110">
        <v>1230</v>
      </c>
      <c r="P581" s="110">
        <v>1290</v>
      </c>
      <c r="Q581" s="114" t="s">
        <v>458</v>
      </c>
    </row>
    <row r="582" spans="1:17">
      <c r="A582" s="97">
        <v>581</v>
      </c>
      <c r="B582" s="101" t="s">
        <v>212</v>
      </c>
      <c r="C582" s="101">
        <v>46148</v>
      </c>
      <c r="D582" s="101">
        <v>46195</v>
      </c>
      <c r="E582" s="113">
        <v>4151</v>
      </c>
      <c r="F582" s="98" t="s">
        <v>362</v>
      </c>
      <c r="G582" s="99" t="s">
        <v>144</v>
      </c>
      <c r="H582" s="100" t="s">
        <v>260</v>
      </c>
      <c r="I582" s="104" t="s">
        <v>288</v>
      </c>
      <c r="J582" s="102" t="s">
        <v>146</v>
      </c>
      <c r="K582" s="103">
        <v>14</v>
      </c>
      <c r="L582" s="104" t="s">
        <v>110</v>
      </c>
      <c r="M582" s="104" t="s">
        <v>147</v>
      </c>
      <c r="N582" s="104" t="s">
        <v>211</v>
      </c>
      <c r="O582" s="110">
        <v>800</v>
      </c>
      <c r="P582" s="110">
        <v>920</v>
      </c>
      <c r="Q582" s="114" t="s">
        <v>458</v>
      </c>
    </row>
    <row r="583" spans="1:17">
      <c r="A583" s="97">
        <v>582</v>
      </c>
      <c r="B583" s="101" t="s">
        <v>212</v>
      </c>
      <c r="C583" s="101">
        <v>46148</v>
      </c>
      <c r="D583" s="101">
        <v>46195</v>
      </c>
      <c r="E583" s="113">
        <v>4148</v>
      </c>
      <c r="F583" s="98" t="s">
        <v>228</v>
      </c>
      <c r="G583" s="99" t="s">
        <v>144</v>
      </c>
      <c r="H583" s="100" t="s">
        <v>202</v>
      </c>
      <c r="I583" s="104" t="s">
        <v>369</v>
      </c>
      <c r="J583" s="102" t="s">
        <v>146</v>
      </c>
      <c r="K583" s="103">
        <v>14</v>
      </c>
      <c r="L583" s="104" t="s">
        <v>110</v>
      </c>
      <c r="M583" s="104" t="s">
        <v>147</v>
      </c>
      <c r="N583" s="104" t="s">
        <v>211</v>
      </c>
      <c r="O583" s="110">
        <v>800</v>
      </c>
      <c r="P583" s="110">
        <v>920</v>
      </c>
      <c r="Q583" s="114" t="s">
        <v>458</v>
      </c>
    </row>
    <row r="584" spans="1:17">
      <c r="A584" s="97">
        <v>583</v>
      </c>
      <c r="B584" s="101" t="s">
        <v>212</v>
      </c>
      <c r="C584" s="101">
        <v>46148</v>
      </c>
      <c r="D584" s="101">
        <v>46195</v>
      </c>
      <c r="E584" s="113">
        <v>4129</v>
      </c>
      <c r="F584" s="98" t="s">
        <v>374</v>
      </c>
      <c r="G584" s="99" t="s">
        <v>144</v>
      </c>
      <c r="H584" s="100" t="s">
        <v>379</v>
      </c>
      <c r="I584" s="104" t="s">
        <v>382</v>
      </c>
      <c r="J584" s="102" t="s">
        <v>146</v>
      </c>
      <c r="K584" s="103">
        <v>14</v>
      </c>
      <c r="L584" s="104" t="s">
        <v>110</v>
      </c>
      <c r="M584" s="104" t="s">
        <v>147</v>
      </c>
      <c r="N584" s="104" t="s">
        <v>211</v>
      </c>
      <c r="O584" s="110">
        <v>800</v>
      </c>
      <c r="P584" s="110">
        <v>920</v>
      </c>
      <c r="Q584" s="114" t="s">
        <v>458</v>
      </c>
    </row>
    <row r="585" spans="1:17">
      <c r="A585" s="97">
        <v>584</v>
      </c>
      <c r="B585" s="101" t="s">
        <v>212</v>
      </c>
      <c r="C585" s="101">
        <v>46148</v>
      </c>
      <c r="D585" s="101">
        <v>46195</v>
      </c>
      <c r="E585" s="113">
        <v>4145</v>
      </c>
      <c r="F585" s="98" t="s">
        <v>284</v>
      </c>
      <c r="G585" s="99" t="s">
        <v>144</v>
      </c>
      <c r="H585" s="100" t="s">
        <v>247</v>
      </c>
      <c r="I585" s="104" t="s">
        <v>272</v>
      </c>
      <c r="J585" s="102" t="s">
        <v>146</v>
      </c>
      <c r="K585" s="103">
        <v>14</v>
      </c>
      <c r="L585" s="104" t="s">
        <v>110</v>
      </c>
      <c r="M585" s="104" t="s">
        <v>147</v>
      </c>
      <c r="N585" s="104" t="s">
        <v>211</v>
      </c>
      <c r="O585" s="110">
        <v>800</v>
      </c>
      <c r="P585" s="110">
        <v>920</v>
      </c>
      <c r="Q585" s="114" t="s">
        <v>458</v>
      </c>
    </row>
    <row r="586" spans="1:17" ht="15" customHeight="1">
      <c r="A586" s="97">
        <v>585</v>
      </c>
      <c r="B586" s="101" t="s">
        <v>184</v>
      </c>
      <c r="C586" s="101">
        <v>46148</v>
      </c>
      <c r="D586" s="117">
        <v>46196</v>
      </c>
      <c r="E586" s="106">
        <v>65171</v>
      </c>
      <c r="F586" s="98" t="s">
        <v>540</v>
      </c>
      <c r="G586" s="99" t="s">
        <v>144</v>
      </c>
      <c r="H586" s="100" t="s">
        <v>171</v>
      </c>
      <c r="I586" s="104" t="s">
        <v>274</v>
      </c>
      <c r="J586" s="102" t="s">
        <v>250</v>
      </c>
      <c r="K586" s="103">
        <v>30</v>
      </c>
      <c r="L586" s="104" t="s">
        <v>110</v>
      </c>
      <c r="M586" s="104" t="s">
        <v>139</v>
      </c>
      <c r="N586" s="104"/>
      <c r="O586" s="109"/>
      <c r="P586" s="109"/>
      <c r="Q586" s="105" t="s">
        <v>458</v>
      </c>
    </row>
    <row r="587" spans="1:17" ht="15" customHeight="1">
      <c r="A587" s="97">
        <v>586</v>
      </c>
      <c r="B587" s="101" t="s">
        <v>184</v>
      </c>
      <c r="C587" s="101">
        <v>46148</v>
      </c>
      <c r="D587" s="117">
        <v>46196</v>
      </c>
      <c r="E587" s="106">
        <v>65167</v>
      </c>
      <c r="F587" s="98" t="s">
        <v>540</v>
      </c>
      <c r="G587" s="99" t="s">
        <v>144</v>
      </c>
      <c r="H587" s="100" t="s">
        <v>541</v>
      </c>
      <c r="I587" s="104" t="s">
        <v>542</v>
      </c>
      <c r="J587" s="102" t="s">
        <v>250</v>
      </c>
      <c r="K587" s="103">
        <v>30</v>
      </c>
      <c r="L587" s="104" t="s">
        <v>110</v>
      </c>
      <c r="M587" s="104" t="s">
        <v>139</v>
      </c>
      <c r="N587" s="104"/>
      <c r="O587" s="109"/>
      <c r="P587" s="109"/>
      <c r="Q587" s="105" t="s">
        <v>458</v>
      </c>
    </row>
    <row r="588" spans="1:17" ht="15" customHeight="1">
      <c r="A588" s="97">
        <v>587</v>
      </c>
      <c r="B588" s="101" t="s">
        <v>184</v>
      </c>
      <c r="C588" s="101">
        <v>46148</v>
      </c>
      <c r="D588" s="117">
        <v>46196</v>
      </c>
      <c r="E588" s="106">
        <v>65177</v>
      </c>
      <c r="F588" s="98" t="s">
        <v>540</v>
      </c>
      <c r="G588" s="99" t="s">
        <v>144</v>
      </c>
      <c r="H588" s="100">
        <v>12</v>
      </c>
      <c r="I588" s="104" t="s">
        <v>281</v>
      </c>
      <c r="J588" s="102" t="s">
        <v>250</v>
      </c>
      <c r="K588" s="103">
        <v>30</v>
      </c>
      <c r="L588" s="104" t="s">
        <v>110</v>
      </c>
      <c r="M588" s="104" t="s">
        <v>139</v>
      </c>
      <c r="N588" s="104"/>
      <c r="O588" s="109"/>
      <c r="P588" s="109"/>
      <c r="Q588" s="105" t="s">
        <v>458</v>
      </c>
    </row>
    <row r="589" spans="1:17" ht="15" customHeight="1">
      <c r="A589" s="97">
        <v>588</v>
      </c>
      <c r="B589" s="101" t="s">
        <v>184</v>
      </c>
      <c r="C589" s="101">
        <v>46148</v>
      </c>
      <c r="D589" s="117">
        <v>46196</v>
      </c>
      <c r="E589" s="106">
        <v>65178</v>
      </c>
      <c r="F589" s="98" t="s">
        <v>540</v>
      </c>
      <c r="G589" s="99" t="s">
        <v>144</v>
      </c>
      <c r="H589" s="100">
        <v>12</v>
      </c>
      <c r="I589" s="104" t="s">
        <v>281</v>
      </c>
      <c r="J589" s="102" t="s">
        <v>250</v>
      </c>
      <c r="K589" s="103">
        <v>30</v>
      </c>
      <c r="L589" s="104" t="s">
        <v>110</v>
      </c>
      <c r="M589" s="104" t="s">
        <v>139</v>
      </c>
      <c r="N589" s="104"/>
      <c r="O589" s="109"/>
      <c r="P589" s="109"/>
      <c r="Q589" s="105" t="s">
        <v>458</v>
      </c>
    </row>
    <row r="590" spans="1:17" ht="15" customHeight="1">
      <c r="A590" s="97">
        <v>589</v>
      </c>
      <c r="B590" s="101" t="s">
        <v>184</v>
      </c>
      <c r="C590" s="101">
        <v>46148</v>
      </c>
      <c r="D590" s="117">
        <v>46196</v>
      </c>
      <c r="E590" s="106">
        <v>65168</v>
      </c>
      <c r="F590" s="98" t="s">
        <v>540</v>
      </c>
      <c r="G590" s="99" t="s">
        <v>144</v>
      </c>
      <c r="H590" s="100" t="s">
        <v>541</v>
      </c>
      <c r="I590" s="104" t="s">
        <v>542</v>
      </c>
      <c r="J590" s="102" t="s">
        <v>250</v>
      </c>
      <c r="K590" s="103">
        <v>30</v>
      </c>
      <c r="L590" s="104" t="s">
        <v>110</v>
      </c>
      <c r="M590" s="104" t="s">
        <v>139</v>
      </c>
      <c r="N590" s="104"/>
      <c r="O590" s="109"/>
      <c r="P590" s="109"/>
      <c r="Q590" s="105" t="s">
        <v>458</v>
      </c>
    </row>
    <row r="591" spans="1:17" ht="15" customHeight="1">
      <c r="A591" s="97">
        <v>590</v>
      </c>
      <c r="B591" s="101" t="s">
        <v>184</v>
      </c>
      <c r="C591" s="101">
        <v>46148</v>
      </c>
      <c r="D591" s="117">
        <v>46196</v>
      </c>
      <c r="E591" s="106">
        <v>65173</v>
      </c>
      <c r="F591" s="98" t="s">
        <v>540</v>
      </c>
      <c r="G591" s="99" t="s">
        <v>144</v>
      </c>
      <c r="H591" s="100">
        <v>1</v>
      </c>
      <c r="I591" s="104" t="s">
        <v>178</v>
      </c>
      <c r="J591" s="102" t="s">
        <v>250</v>
      </c>
      <c r="K591" s="103">
        <v>30</v>
      </c>
      <c r="L591" s="104" t="s">
        <v>110</v>
      </c>
      <c r="M591" s="104" t="s">
        <v>139</v>
      </c>
      <c r="N591" s="104"/>
      <c r="O591" s="109"/>
      <c r="P591" s="109"/>
      <c r="Q591" s="105" t="s">
        <v>458</v>
      </c>
    </row>
    <row r="592" spans="1:17" ht="15" customHeight="1">
      <c r="A592" s="97">
        <v>591</v>
      </c>
      <c r="B592" s="101" t="s">
        <v>184</v>
      </c>
      <c r="C592" s="101">
        <v>46148</v>
      </c>
      <c r="D592" s="117">
        <v>46196</v>
      </c>
      <c r="E592" s="106">
        <v>65176</v>
      </c>
      <c r="F592" s="98" t="s">
        <v>540</v>
      </c>
      <c r="G592" s="99" t="s">
        <v>144</v>
      </c>
      <c r="H592" s="100">
        <v>5</v>
      </c>
      <c r="I592" s="104" t="s">
        <v>172</v>
      </c>
      <c r="J592" s="102" t="s">
        <v>250</v>
      </c>
      <c r="K592" s="103">
        <v>30</v>
      </c>
      <c r="L592" s="104" t="s">
        <v>110</v>
      </c>
      <c r="M592" s="104" t="s">
        <v>139</v>
      </c>
      <c r="N592" s="104"/>
      <c r="O592" s="109"/>
      <c r="P592" s="109"/>
      <c r="Q592" s="105" t="s">
        <v>458</v>
      </c>
    </row>
    <row r="593" spans="1:17" ht="15" customHeight="1">
      <c r="A593" s="97">
        <v>592</v>
      </c>
      <c r="B593" s="101" t="s">
        <v>513</v>
      </c>
      <c r="C593" s="101">
        <v>46192</v>
      </c>
      <c r="D593" s="117">
        <v>46196</v>
      </c>
      <c r="E593" s="106">
        <v>65175</v>
      </c>
      <c r="F593" s="98" t="s">
        <v>540</v>
      </c>
      <c r="G593" s="99" t="s">
        <v>144</v>
      </c>
      <c r="H593" s="100">
        <v>5</v>
      </c>
      <c r="I593" s="104" t="s">
        <v>172</v>
      </c>
      <c r="J593" s="102" t="s">
        <v>250</v>
      </c>
      <c r="K593" s="129">
        <v>30</v>
      </c>
      <c r="L593" s="104" t="s">
        <v>110</v>
      </c>
      <c r="M593" s="104" t="s">
        <v>139</v>
      </c>
      <c r="N593" s="104"/>
      <c r="O593" s="109"/>
      <c r="P593" s="109"/>
      <c r="Q593" s="105" t="s">
        <v>458</v>
      </c>
    </row>
    <row r="594" spans="1:17" ht="15" customHeight="1">
      <c r="A594" s="97">
        <v>593</v>
      </c>
      <c r="B594" s="101" t="s">
        <v>513</v>
      </c>
      <c r="C594" s="101">
        <v>46192</v>
      </c>
      <c r="D594" s="117">
        <v>46196</v>
      </c>
      <c r="E594" s="106">
        <v>65179</v>
      </c>
      <c r="F594" s="98" t="s">
        <v>540</v>
      </c>
      <c r="G594" s="99" t="s">
        <v>144</v>
      </c>
      <c r="H594" s="100">
        <v>2</v>
      </c>
      <c r="I594" s="104" t="s">
        <v>537</v>
      </c>
      <c r="J594" s="102" t="s">
        <v>250</v>
      </c>
      <c r="K594" s="103">
        <v>30</v>
      </c>
      <c r="L594" s="104" t="s">
        <v>110</v>
      </c>
      <c r="M594" s="104" t="s">
        <v>139</v>
      </c>
      <c r="N594" s="104"/>
      <c r="O594" s="109"/>
      <c r="P594" s="109"/>
      <c r="Q594" s="105" t="s">
        <v>458</v>
      </c>
    </row>
    <row r="595" spans="1:17" ht="15" customHeight="1">
      <c r="A595" s="97">
        <v>594</v>
      </c>
      <c r="B595" s="101" t="s">
        <v>513</v>
      </c>
      <c r="C595" s="101">
        <v>46192</v>
      </c>
      <c r="D595" s="117">
        <v>46196</v>
      </c>
      <c r="E595" s="106">
        <v>65181</v>
      </c>
      <c r="F595" s="98" t="s">
        <v>540</v>
      </c>
      <c r="G595" s="99" t="s">
        <v>144</v>
      </c>
      <c r="H595" s="100">
        <v>33</v>
      </c>
      <c r="I595" s="104" t="s">
        <v>194</v>
      </c>
      <c r="J595" s="102" t="s">
        <v>250</v>
      </c>
      <c r="K595" s="103">
        <v>30</v>
      </c>
      <c r="L595" s="104" t="s">
        <v>110</v>
      </c>
      <c r="M595" s="104" t="s">
        <v>139</v>
      </c>
      <c r="N595" s="104"/>
      <c r="O595" s="109"/>
      <c r="P595" s="109"/>
      <c r="Q595" s="105" t="s">
        <v>458</v>
      </c>
    </row>
    <row r="596" spans="1:17" ht="15" customHeight="1">
      <c r="A596" s="97">
        <v>595</v>
      </c>
      <c r="B596" s="101" t="s">
        <v>513</v>
      </c>
      <c r="C596" s="101">
        <v>46192</v>
      </c>
      <c r="D596" s="117">
        <v>46196</v>
      </c>
      <c r="E596" s="106">
        <v>65169</v>
      </c>
      <c r="F596" s="98" t="s">
        <v>540</v>
      </c>
      <c r="G596" s="99" t="s">
        <v>144</v>
      </c>
      <c r="H596" s="100" t="s">
        <v>541</v>
      </c>
      <c r="I596" s="104" t="s">
        <v>542</v>
      </c>
      <c r="J596" s="102" t="s">
        <v>250</v>
      </c>
      <c r="K596" s="103">
        <v>30</v>
      </c>
      <c r="L596" s="104" t="s">
        <v>110</v>
      </c>
      <c r="M596" s="104" t="s">
        <v>139</v>
      </c>
      <c r="N596" s="104"/>
      <c r="O596" s="109"/>
      <c r="P596" s="109"/>
      <c r="Q596" s="105" t="s">
        <v>458</v>
      </c>
    </row>
    <row r="597" spans="1:17" ht="15" customHeight="1">
      <c r="A597" s="97">
        <v>596</v>
      </c>
      <c r="B597" s="101" t="s">
        <v>513</v>
      </c>
      <c r="C597" s="101">
        <v>46192</v>
      </c>
      <c r="D597" s="117">
        <v>46196</v>
      </c>
      <c r="E597" s="106">
        <v>65166</v>
      </c>
      <c r="F597" s="98" t="s">
        <v>540</v>
      </c>
      <c r="G597" s="99" t="s">
        <v>144</v>
      </c>
      <c r="H597" s="100" t="s">
        <v>541</v>
      </c>
      <c r="I597" s="104" t="s">
        <v>542</v>
      </c>
      <c r="J597" s="102" t="s">
        <v>250</v>
      </c>
      <c r="K597" s="103">
        <v>30</v>
      </c>
      <c r="L597" s="104" t="s">
        <v>110</v>
      </c>
      <c r="M597" s="104" t="s">
        <v>139</v>
      </c>
      <c r="N597" s="104"/>
      <c r="O597" s="109"/>
      <c r="P597" s="109"/>
      <c r="Q597" s="105" t="s">
        <v>458</v>
      </c>
    </row>
    <row r="598" spans="1:17" ht="15" customHeight="1">
      <c r="A598" s="97">
        <v>597</v>
      </c>
      <c r="B598" s="101" t="s">
        <v>513</v>
      </c>
      <c r="C598" s="101">
        <v>46192</v>
      </c>
      <c r="D598" s="117">
        <v>46196</v>
      </c>
      <c r="E598" s="106">
        <v>65182</v>
      </c>
      <c r="F598" s="98" t="s">
        <v>540</v>
      </c>
      <c r="G598" s="99" t="s">
        <v>144</v>
      </c>
      <c r="H598" s="100">
        <v>33</v>
      </c>
      <c r="I598" s="104" t="s">
        <v>194</v>
      </c>
      <c r="J598" s="102" t="s">
        <v>250</v>
      </c>
      <c r="K598" s="103">
        <v>30</v>
      </c>
      <c r="L598" s="104" t="s">
        <v>110</v>
      </c>
      <c r="M598" s="104" t="s">
        <v>139</v>
      </c>
      <c r="N598" s="104"/>
      <c r="O598" s="109"/>
      <c r="P598" s="109"/>
      <c r="Q598" s="105" t="s">
        <v>458</v>
      </c>
    </row>
    <row r="599" spans="1:17" ht="15" customHeight="1">
      <c r="A599" s="97">
        <v>598</v>
      </c>
      <c r="B599" s="101" t="s">
        <v>513</v>
      </c>
      <c r="C599" s="101">
        <v>46192</v>
      </c>
      <c r="D599" s="117">
        <v>46196</v>
      </c>
      <c r="E599" s="106">
        <v>65170</v>
      </c>
      <c r="F599" s="98" t="s">
        <v>540</v>
      </c>
      <c r="G599" s="99" t="s">
        <v>144</v>
      </c>
      <c r="H599" s="100" t="s">
        <v>541</v>
      </c>
      <c r="I599" s="104" t="s">
        <v>542</v>
      </c>
      <c r="J599" s="102" t="s">
        <v>250</v>
      </c>
      <c r="K599" s="103">
        <v>30</v>
      </c>
      <c r="L599" s="104" t="s">
        <v>110</v>
      </c>
      <c r="M599" s="104" t="s">
        <v>139</v>
      </c>
      <c r="N599" s="104"/>
      <c r="O599" s="109"/>
      <c r="P599" s="109"/>
      <c r="Q599" s="105" t="s">
        <v>458</v>
      </c>
    </row>
    <row r="600" spans="1:17" ht="15" customHeight="1">
      <c r="A600" s="97">
        <v>599</v>
      </c>
      <c r="B600" s="101" t="s">
        <v>513</v>
      </c>
      <c r="C600" s="101">
        <v>46192</v>
      </c>
      <c r="D600" s="117">
        <v>46196</v>
      </c>
      <c r="E600" s="106">
        <v>65172</v>
      </c>
      <c r="F600" s="98" t="s">
        <v>540</v>
      </c>
      <c r="G600" s="99" t="s">
        <v>144</v>
      </c>
      <c r="H600" s="100" t="s">
        <v>171</v>
      </c>
      <c r="I600" s="104" t="s">
        <v>274</v>
      </c>
      <c r="J600" s="102" t="s">
        <v>250</v>
      </c>
      <c r="K600" s="103">
        <v>30</v>
      </c>
      <c r="L600" s="104" t="s">
        <v>110</v>
      </c>
      <c r="M600" s="104" t="s">
        <v>139</v>
      </c>
      <c r="N600" s="104"/>
      <c r="O600" s="109"/>
      <c r="P600" s="109"/>
      <c r="Q600" s="105" t="s">
        <v>458</v>
      </c>
    </row>
    <row r="601" spans="1:17">
      <c r="A601" s="97">
        <v>600</v>
      </c>
      <c r="B601" s="101" t="s">
        <v>507</v>
      </c>
      <c r="C601" s="101">
        <v>46198</v>
      </c>
      <c r="D601" s="127">
        <v>46196</v>
      </c>
      <c r="E601" s="106">
        <v>9606</v>
      </c>
      <c r="F601" s="98" t="s">
        <v>510</v>
      </c>
      <c r="G601" s="99" t="s">
        <v>144</v>
      </c>
      <c r="H601" s="105" t="s">
        <v>511</v>
      </c>
      <c r="I601" s="107" t="s">
        <v>509</v>
      </c>
      <c r="J601" s="102" t="s">
        <v>180</v>
      </c>
      <c r="K601" s="103">
        <v>60</v>
      </c>
      <c r="L601" s="104" t="s">
        <v>100</v>
      </c>
      <c r="M601" s="104" t="s">
        <v>139</v>
      </c>
      <c r="N601" s="104"/>
      <c r="O601" s="109"/>
      <c r="P601" s="109"/>
      <c r="Q601" s="114" t="s">
        <v>458</v>
      </c>
    </row>
    <row r="602" spans="1:17">
      <c r="A602" s="97">
        <v>601</v>
      </c>
      <c r="B602" s="101" t="s">
        <v>212</v>
      </c>
      <c r="C602" s="101">
        <v>46148</v>
      </c>
      <c r="D602" s="101">
        <v>46196</v>
      </c>
      <c r="E602" s="113">
        <v>4182</v>
      </c>
      <c r="F602" s="98" t="s">
        <v>222</v>
      </c>
      <c r="G602" s="99" t="s">
        <v>144</v>
      </c>
      <c r="H602" s="100" t="s">
        <v>142</v>
      </c>
      <c r="I602" s="104" t="s">
        <v>215</v>
      </c>
      <c r="J602" s="102" t="s">
        <v>146</v>
      </c>
      <c r="K602" s="103">
        <v>7</v>
      </c>
      <c r="L602" s="104" t="s">
        <v>110</v>
      </c>
      <c r="M602" s="104" t="s">
        <v>147</v>
      </c>
      <c r="N602" s="104" t="s">
        <v>211</v>
      </c>
      <c r="O602" s="110">
        <v>1480</v>
      </c>
      <c r="P602" s="110">
        <v>1555</v>
      </c>
      <c r="Q602" s="114" t="s">
        <v>458</v>
      </c>
    </row>
    <row r="603" spans="1:17">
      <c r="A603" s="97">
        <v>602</v>
      </c>
      <c r="B603" s="101" t="s">
        <v>212</v>
      </c>
      <c r="C603" s="101">
        <v>46148</v>
      </c>
      <c r="D603" s="101">
        <v>46196</v>
      </c>
      <c r="E603" s="113">
        <v>4184</v>
      </c>
      <c r="F603" s="98" t="s">
        <v>254</v>
      </c>
      <c r="G603" s="99" t="s">
        <v>144</v>
      </c>
      <c r="H603" s="100" t="s">
        <v>259</v>
      </c>
      <c r="I603" s="104" t="s">
        <v>264</v>
      </c>
      <c r="J603" s="102" t="s">
        <v>146</v>
      </c>
      <c r="K603" s="103">
        <v>7</v>
      </c>
      <c r="L603" s="104" t="s">
        <v>110</v>
      </c>
      <c r="M603" s="104" t="s">
        <v>147</v>
      </c>
      <c r="N603" s="104" t="s">
        <v>211</v>
      </c>
      <c r="O603" s="110">
        <v>1480</v>
      </c>
      <c r="P603" s="110">
        <v>1555</v>
      </c>
      <c r="Q603" s="114" t="s">
        <v>458</v>
      </c>
    </row>
    <row r="604" spans="1:17">
      <c r="A604" s="97">
        <v>603</v>
      </c>
      <c r="B604" s="101" t="s">
        <v>212</v>
      </c>
      <c r="C604" s="101">
        <v>46148</v>
      </c>
      <c r="D604" s="101">
        <v>46196</v>
      </c>
      <c r="E604" s="113">
        <v>4186</v>
      </c>
      <c r="F604" s="98" t="s">
        <v>377</v>
      </c>
      <c r="G604" s="99" t="s">
        <v>144</v>
      </c>
      <c r="H604" s="100" t="s">
        <v>304</v>
      </c>
      <c r="I604" s="104" t="s">
        <v>385</v>
      </c>
      <c r="J604" s="102" t="s">
        <v>146</v>
      </c>
      <c r="K604" s="103">
        <v>14</v>
      </c>
      <c r="L604" s="104" t="s">
        <v>110</v>
      </c>
      <c r="M604" s="104" t="s">
        <v>147</v>
      </c>
      <c r="N604" s="104" t="s">
        <v>211</v>
      </c>
      <c r="O604" s="110">
        <v>1480</v>
      </c>
      <c r="P604" s="110">
        <v>1555</v>
      </c>
      <c r="Q604" s="114" t="s">
        <v>458</v>
      </c>
    </row>
    <row r="605" spans="1:17">
      <c r="A605" s="97">
        <v>604</v>
      </c>
      <c r="B605" s="101" t="s">
        <v>212</v>
      </c>
      <c r="C605" s="101">
        <v>46148</v>
      </c>
      <c r="D605" s="101">
        <v>46196</v>
      </c>
      <c r="E605" s="113">
        <v>4180</v>
      </c>
      <c r="F605" s="98" t="s">
        <v>362</v>
      </c>
      <c r="G605" s="99" t="s">
        <v>144</v>
      </c>
      <c r="H605" s="100" t="s">
        <v>260</v>
      </c>
      <c r="I605" s="104" t="s">
        <v>265</v>
      </c>
      <c r="J605" s="102" t="s">
        <v>146</v>
      </c>
      <c r="K605" s="103">
        <v>14</v>
      </c>
      <c r="L605" s="104" t="s">
        <v>110</v>
      </c>
      <c r="M605" s="104" t="s">
        <v>147</v>
      </c>
      <c r="N605" s="104" t="s">
        <v>211</v>
      </c>
      <c r="O605" s="110">
        <v>1480</v>
      </c>
      <c r="P605" s="110">
        <v>1555</v>
      </c>
      <c r="Q605" s="114" t="s">
        <v>458</v>
      </c>
    </row>
    <row r="606" spans="1:17">
      <c r="A606" s="97">
        <v>605</v>
      </c>
      <c r="B606" s="101" t="s">
        <v>212</v>
      </c>
      <c r="C606" s="101">
        <v>46148</v>
      </c>
      <c r="D606" s="101">
        <v>46196</v>
      </c>
      <c r="E606" s="113">
        <v>4185</v>
      </c>
      <c r="F606" s="98" t="s">
        <v>254</v>
      </c>
      <c r="G606" s="99" t="s">
        <v>144</v>
      </c>
      <c r="H606" s="100" t="s">
        <v>259</v>
      </c>
      <c r="I606" s="104" t="s">
        <v>264</v>
      </c>
      <c r="J606" s="102" t="s">
        <v>146</v>
      </c>
      <c r="K606" s="103">
        <v>7</v>
      </c>
      <c r="L606" s="104" t="s">
        <v>110</v>
      </c>
      <c r="M606" s="104" t="s">
        <v>147</v>
      </c>
      <c r="N606" s="104" t="s">
        <v>211</v>
      </c>
      <c r="O606" s="110">
        <v>1480</v>
      </c>
      <c r="P606" s="110">
        <v>1555</v>
      </c>
      <c r="Q606" s="114" t="s">
        <v>458</v>
      </c>
    </row>
    <row r="607" spans="1:17">
      <c r="A607" s="97">
        <v>606</v>
      </c>
      <c r="B607" s="101" t="s">
        <v>212</v>
      </c>
      <c r="C607" s="101">
        <v>46148</v>
      </c>
      <c r="D607" s="101">
        <v>46196</v>
      </c>
      <c r="E607" s="113">
        <v>4181</v>
      </c>
      <c r="F607" s="98" t="s">
        <v>222</v>
      </c>
      <c r="G607" s="99" t="s">
        <v>144</v>
      </c>
      <c r="H607" s="100" t="s">
        <v>142</v>
      </c>
      <c r="I607" s="104" t="s">
        <v>215</v>
      </c>
      <c r="J607" s="102" t="s">
        <v>146</v>
      </c>
      <c r="K607" s="103">
        <v>7</v>
      </c>
      <c r="L607" s="104" t="s">
        <v>110</v>
      </c>
      <c r="M607" s="104" t="s">
        <v>147</v>
      </c>
      <c r="N607" s="104" t="s">
        <v>211</v>
      </c>
      <c r="O607" s="110">
        <v>1480</v>
      </c>
      <c r="P607" s="110">
        <v>1555</v>
      </c>
      <c r="Q607" s="114" t="s">
        <v>458</v>
      </c>
    </row>
    <row r="608" spans="1:17">
      <c r="A608" s="97">
        <v>607</v>
      </c>
      <c r="B608" s="101" t="s">
        <v>212</v>
      </c>
      <c r="C608" s="101">
        <v>46148</v>
      </c>
      <c r="D608" s="101">
        <v>46196</v>
      </c>
      <c r="E608" s="113">
        <v>4172</v>
      </c>
      <c r="F608" s="98" t="s">
        <v>367</v>
      </c>
      <c r="G608" s="99" t="s">
        <v>144</v>
      </c>
      <c r="H608" s="100" t="s">
        <v>217</v>
      </c>
      <c r="I608" s="104" t="s">
        <v>214</v>
      </c>
      <c r="J608" s="102" t="s">
        <v>146</v>
      </c>
      <c r="K608" s="103">
        <v>14</v>
      </c>
      <c r="L608" s="104" t="s">
        <v>110</v>
      </c>
      <c r="M608" s="104" t="s">
        <v>147</v>
      </c>
      <c r="N608" s="104" t="s">
        <v>211</v>
      </c>
      <c r="O608" s="110">
        <v>1480</v>
      </c>
      <c r="P608" s="110">
        <v>1555</v>
      </c>
      <c r="Q608" s="114" t="s">
        <v>458</v>
      </c>
    </row>
    <row r="609" spans="1:17">
      <c r="A609" s="97">
        <v>608</v>
      </c>
      <c r="B609" s="101" t="s">
        <v>212</v>
      </c>
      <c r="C609" s="101">
        <v>46148</v>
      </c>
      <c r="D609" s="101">
        <v>46196</v>
      </c>
      <c r="E609" s="113">
        <v>4169</v>
      </c>
      <c r="F609" s="98" t="s">
        <v>254</v>
      </c>
      <c r="G609" s="99" t="s">
        <v>144</v>
      </c>
      <c r="H609" s="100" t="s">
        <v>259</v>
      </c>
      <c r="I609" s="104" t="s">
        <v>264</v>
      </c>
      <c r="J609" s="102" t="s">
        <v>146</v>
      </c>
      <c r="K609" s="103">
        <v>7</v>
      </c>
      <c r="L609" s="104" t="s">
        <v>110</v>
      </c>
      <c r="M609" s="104" t="s">
        <v>147</v>
      </c>
      <c r="N609" s="104" t="s">
        <v>211</v>
      </c>
      <c r="O609" s="110">
        <v>1480</v>
      </c>
      <c r="P609" s="110">
        <v>1555</v>
      </c>
      <c r="Q609" s="114" t="s">
        <v>458</v>
      </c>
    </row>
    <row r="610" spans="1:17">
      <c r="A610" s="97">
        <v>609</v>
      </c>
      <c r="B610" s="101" t="s">
        <v>212</v>
      </c>
      <c r="C610" s="101">
        <v>46148</v>
      </c>
      <c r="D610" s="101">
        <v>46196</v>
      </c>
      <c r="E610" s="113">
        <v>4177</v>
      </c>
      <c r="F610" s="98" t="s">
        <v>257</v>
      </c>
      <c r="G610" s="99" t="s">
        <v>144</v>
      </c>
      <c r="H610" s="100" t="s">
        <v>262</v>
      </c>
      <c r="I610" s="104" t="s">
        <v>269</v>
      </c>
      <c r="J610" s="102" t="s">
        <v>146</v>
      </c>
      <c r="K610" s="103">
        <v>14</v>
      </c>
      <c r="L610" s="104" t="s">
        <v>110</v>
      </c>
      <c r="M610" s="104" t="s">
        <v>147</v>
      </c>
      <c r="N610" s="104" t="s">
        <v>211</v>
      </c>
      <c r="O610" s="110">
        <v>1480</v>
      </c>
      <c r="P610" s="110">
        <v>1555</v>
      </c>
      <c r="Q610" s="114" t="s">
        <v>458</v>
      </c>
    </row>
    <row r="611" spans="1:17">
      <c r="A611" s="97">
        <v>610</v>
      </c>
      <c r="B611" s="101" t="s">
        <v>212</v>
      </c>
      <c r="C611" s="101">
        <v>46148</v>
      </c>
      <c r="D611" s="101">
        <v>46196</v>
      </c>
      <c r="E611" s="113">
        <v>4171</v>
      </c>
      <c r="F611" s="98" t="s">
        <v>367</v>
      </c>
      <c r="G611" s="99" t="s">
        <v>144</v>
      </c>
      <c r="H611" s="100" t="s">
        <v>217</v>
      </c>
      <c r="I611" s="104" t="s">
        <v>214</v>
      </c>
      <c r="J611" s="102" t="s">
        <v>146</v>
      </c>
      <c r="K611" s="103">
        <v>14</v>
      </c>
      <c r="L611" s="104" t="s">
        <v>110</v>
      </c>
      <c r="M611" s="104" t="s">
        <v>147</v>
      </c>
      <c r="N611" s="104" t="s">
        <v>211</v>
      </c>
      <c r="O611" s="110">
        <v>1480</v>
      </c>
      <c r="P611" s="110">
        <v>1555</v>
      </c>
      <c r="Q611" s="114" t="s">
        <v>458</v>
      </c>
    </row>
    <row r="612" spans="1:17">
      <c r="A612" s="97">
        <v>611</v>
      </c>
      <c r="B612" s="101" t="s">
        <v>212</v>
      </c>
      <c r="C612" s="101">
        <v>46148</v>
      </c>
      <c r="D612" s="101">
        <v>46196</v>
      </c>
      <c r="E612" s="113">
        <v>4179</v>
      </c>
      <c r="F612" s="98" t="s">
        <v>222</v>
      </c>
      <c r="G612" s="99" t="s">
        <v>144</v>
      </c>
      <c r="H612" s="100" t="s">
        <v>142</v>
      </c>
      <c r="I612" s="104" t="s">
        <v>215</v>
      </c>
      <c r="J612" s="102" t="s">
        <v>146</v>
      </c>
      <c r="K612" s="103">
        <v>7</v>
      </c>
      <c r="L612" s="104" t="s">
        <v>110</v>
      </c>
      <c r="M612" s="104" t="s">
        <v>147</v>
      </c>
      <c r="N612" s="104" t="s">
        <v>211</v>
      </c>
      <c r="O612" s="110">
        <v>1480</v>
      </c>
      <c r="P612" s="110">
        <v>1555</v>
      </c>
      <c r="Q612" s="114" t="s">
        <v>458</v>
      </c>
    </row>
    <row r="613" spans="1:17">
      <c r="A613" s="97">
        <v>612</v>
      </c>
      <c r="B613" s="101" t="s">
        <v>212</v>
      </c>
      <c r="C613" s="101">
        <v>46148</v>
      </c>
      <c r="D613" s="101">
        <v>46196</v>
      </c>
      <c r="E613" s="113">
        <v>4175</v>
      </c>
      <c r="F613" s="98" t="s">
        <v>256</v>
      </c>
      <c r="G613" s="99" t="s">
        <v>144</v>
      </c>
      <c r="H613" s="100" t="s">
        <v>261</v>
      </c>
      <c r="I613" s="104" t="s">
        <v>268</v>
      </c>
      <c r="J613" s="102" t="s">
        <v>146</v>
      </c>
      <c r="K613" s="103">
        <v>14</v>
      </c>
      <c r="L613" s="104" t="s">
        <v>110</v>
      </c>
      <c r="M613" s="104" t="s">
        <v>147</v>
      </c>
      <c r="N613" s="104" t="s">
        <v>211</v>
      </c>
      <c r="O613" s="110">
        <v>1480</v>
      </c>
      <c r="P613" s="110">
        <v>1555</v>
      </c>
      <c r="Q613" s="114" t="s">
        <v>458</v>
      </c>
    </row>
    <row r="614" spans="1:17">
      <c r="A614" s="97">
        <v>613</v>
      </c>
      <c r="B614" s="101" t="s">
        <v>212</v>
      </c>
      <c r="C614" s="101">
        <v>46148</v>
      </c>
      <c r="D614" s="101">
        <v>46196</v>
      </c>
      <c r="E614" s="113">
        <v>4154</v>
      </c>
      <c r="F614" s="98" t="s">
        <v>362</v>
      </c>
      <c r="G614" s="99" t="s">
        <v>144</v>
      </c>
      <c r="H614" s="100" t="s">
        <v>260</v>
      </c>
      <c r="I614" s="104" t="s">
        <v>265</v>
      </c>
      <c r="J614" s="102" t="s">
        <v>146</v>
      </c>
      <c r="K614" s="103">
        <v>14</v>
      </c>
      <c r="L614" s="104" t="s">
        <v>110</v>
      </c>
      <c r="M614" s="104" t="s">
        <v>147</v>
      </c>
      <c r="N614" s="104" t="s">
        <v>211</v>
      </c>
      <c r="O614" s="110">
        <v>1480</v>
      </c>
      <c r="P614" s="110">
        <v>1555</v>
      </c>
      <c r="Q614" s="114" t="s">
        <v>458</v>
      </c>
    </row>
    <row r="615" spans="1:17">
      <c r="A615" s="97">
        <v>614</v>
      </c>
      <c r="B615" s="101" t="s">
        <v>212</v>
      </c>
      <c r="C615" s="101">
        <v>46148</v>
      </c>
      <c r="D615" s="101">
        <v>46196</v>
      </c>
      <c r="E615" s="113">
        <v>4173</v>
      </c>
      <c r="F615" s="98" t="s">
        <v>491</v>
      </c>
      <c r="G615" s="99" t="s">
        <v>144</v>
      </c>
      <c r="H615" s="100" t="s">
        <v>263</v>
      </c>
      <c r="I615" s="104" t="s">
        <v>268</v>
      </c>
      <c r="J615" s="102" t="s">
        <v>146</v>
      </c>
      <c r="K615" s="103">
        <v>14</v>
      </c>
      <c r="L615" s="104" t="s">
        <v>110</v>
      </c>
      <c r="M615" s="104" t="s">
        <v>147</v>
      </c>
      <c r="N615" s="104" t="s">
        <v>211</v>
      </c>
      <c r="O615" s="110">
        <v>1480</v>
      </c>
      <c r="P615" s="110">
        <v>1555</v>
      </c>
      <c r="Q615" s="114" t="s">
        <v>458</v>
      </c>
    </row>
    <row r="616" spans="1:17">
      <c r="A616" s="97">
        <v>615</v>
      </c>
      <c r="B616" s="101" t="s">
        <v>212</v>
      </c>
      <c r="C616" s="101">
        <v>46148</v>
      </c>
      <c r="D616" s="101">
        <v>46196</v>
      </c>
      <c r="E616" s="113">
        <v>4176</v>
      </c>
      <c r="F616" s="98" t="s">
        <v>257</v>
      </c>
      <c r="G616" s="99" t="s">
        <v>144</v>
      </c>
      <c r="H616" s="100" t="s">
        <v>262</v>
      </c>
      <c r="I616" s="104" t="s">
        <v>269</v>
      </c>
      <c r="J616" s="102" t="s">
        <v>146</v>
      </c>
      <c r="K616" s="103">
        <v>14</v>
      </c>
      <c r="L616" s="104" t="s">
        <v>110</v>
      </c>
      <c r="M616" s="104" t="s">
        <v>147</v>
      </c>
      <c r="N616" s="104" t="s">
        <v>211</v>
      </c>
      <c r="O616" s="110">
        <v>1480</v>
      </c>
      <c r="P616" s="110">
        <v>1555</v>
      </c>
      <c r="Q616" s="114" t="s">
        <v>458</v>
      </c>
    </row>
    <row r="617" spans="1:17">
      <c r="A617" s="97">
        <v>616</v>
      </c>
      <c r="B617" s="101" t="s">
        <v>212</v>
      </c>
      <c r="C617" s="101">
        <v>46148</v>
      </c>
      <c r="D617" s="101">
        <v>46196</v>
      </c>
      <c r="E617" s="113">
        <v>4174</v>
      </c>
      <c r="F617" s="98" t="s">
        <v>256</v>
      </c>
      <c r="G617" s="99" t="s">
        <v>144</v>
      </c>
      <c r="H617" s="100" t="s">
        <v>261</v>
      </c>
      <c r="I617" s="104" t="s">
        <v>268</v>
      </c>
      <c r="J617" s="102" t="s">
        <v>146</v>
      </c>
      <c r="K617" s="103">
        <v>14</v>
      </c>
      <c r="L617" s="104" t="s">
        <v>110</v>
      </c>
      <c r="M617" s="104" t="s">
        <v>147</v>
      </c>
      <c r="N617" s="104" t="s">
        <v>211</v>
      </c>
      <c r="O617" s="110">
        <v>1480</v>
      </c>
      <c r="P617" s="110">
        <v>1555</v>
      </c>
      <c r="Q617" s="114" t="s">
        <v>458</v>
      </c>
    </row>
    <row r="618" spans="1:17">
      <c r="A618" s="97">
        <v>617</v>
      </c>
      <c r="B618" s="101" t="s">
        <v>212</v>
      </c>
      <c r="C618" s="101">
        <v>46148</v>
      </c>
      <c r="D618" s="101">
        <v>46196</v>
      </c>
      <c r="E618" s="113">
        <v>4170</v>
      </c>
      <c r="F618" s="98" t="s">
        <v>367</v>
      </c>
      <c r="G618" s="99" t="s">
        <v>144</v>
      </c>
      <c r="H618" s="100" t="s">
        <v>217</v>
      </c>
      <c r="I618" s="104" t="s">
        <v>214</v>
      </c>
      <c r="J618" s="102" t="s">
        <v>146</v>
      </c>
      <c r="K618" s="103">
        <v>14</v>
      </c>
      <c r="L618" s="104" t="s">
        <v>110</v>
      </c>
      <c r="M618" s="104" t="s">
        <v>147</v>
      </c>
      <c r="N618" s="104" t="s">
        <v>211</v>
      </c>
      <c r="O618" s="110">
        <v>1480</v>
      </c>
      <c r="P618" s="110">
        <v>1555</v>
      </c>
      <c r="Q618" s="114" t="s">
        <v>458</v>
      </c>
    </row>
    <row r="619" spans="1:17">
      <c r="A619" s="97">
        <v>618</v>
      </c>
      <c r="B619" s="101" t="s">
        <v>212</v>
      </c>
      <c r="C619" s="101">
        <v>46148</v>
      </c>
      <c r="D619" s="101">
        <v>46196</v>
      </c>
      <c r="E619" s="113">
        <v>4167</v>
      </c>
      <c r="F619" s="98" t="s">
        <v>254</v>
      </c>
      <c r="G619" s="99" t="s">
        <v>144</v>
      </c>
      <c r="H619" s="100" t="s">
        <v>259</v>
      </c>
      <c r="I619" s="104" t="s">
        <v>264</v>
      </c>
      <c r="J619" s="102" t="s">
        <v>146</v>
      </c>
      <c r="K619" s="103">
        <v>7</v>
      </c>
      <c r="L619" s="104" t="s">
        <v>110</v>
      </c>
      <c r="M619" s="104" t="s">
        <v>147</v>
      </c>
      <c r="N619" s="104" t="s">
        <v>211</v>
      </c>
      <c r="O619" s="110">
        <v>1480</v>
      </c>
      <c r="P619" s="110">
        <v>1555</v>
      </c>
      <c r="Q619" s="114" t="s">
        <v>458</v>
      </c>
    </row>
    <row r="620" spans="1:17">
      <c r="A620" s="97">
        <v>619</v>
      </c>
      <c r="B620" s="101" t="s">
        <v>212</v>
      </c>
      <c r="C620" s="101">
        <v>46148</v>
      </c>
      <c r="D620" s="101">
        <v>46196</v>
      </c>
      <c r="E620" s="113">
        <v>4166</v>
      </c>
      <c r="F620" s="98" t="s">
        <v>254</v>
      </c>
      <c r="G620" s="99" t="s">
        <v>144</v>
      </c>
      <c r="H620" s="100" t="s">
        <v>259</v>
      </c>
      <c r="I620" s="104" t="s">
        <v>264</v>
      </c>
      <c r="J620" s="102" t="s">
        <v>146</v>
      </c>
      <c r="K620" s="103">
        <v>7</v>
      </c>
      <c r="L620" s="104" t="s">
        <v>110</v>
      </c>
      <c r="M620" s="104" t="s">
        <v>147</v>
      </c>
      <c r="N620" s="104" t="s">
        <v>211</v>
      </c>
      <c r="O620" s="110">
        <v>1480</v>
      </c>
      <c r="P620" s="110">
        <v>1555</v>
      </c>
      <c r="Q620" s="114" t="s">
        <v>458</v>
      </c>
    </row>
    <row r="621" spans="1:17">
      <c r="A621" s="97">
        <v>620</v>
      </c>
      <c r="B621" s="101" t="s">
        <v>212</v>
      </c>
      <c r="C621" s="101">
        <v>46148</v>
      </c>
      <c r="D621" s="101">
        <v>46196</v>
      </c>
      <c r="E621" s="113">
        <v>4178</v>
      </c>
      <c r="F621" s="98" t="s">
        <v>222</v>
      </c>
      <c r="G621" s="99" t="s">
        <v>144</v>
      </c>
      <c r="H621" s="100" t="s">
        <v>142</v>
      </c>
      <c r="I621" s="104" t="s">
        <v>215</v>
      </c>
      <c r="J621" s="102" t="s">
        <v>146</v>
      </c>
      <c r="K621" s="103">
        <v>7</v>
      </c>
      <c r="L621" s="104" t="s">
        <v>110</v>
      </c>
      <c r="M621" s="104" t="s">
        <v>147</v>
      </c>
      <c r="N621" s="104" t="s">
        <v>211</v>
      </c>
      <c r="O621" s="110">
        <v>1480</v>
      </c>
      <c r="P621" s="110">
        <v>1555</v>
      </c>
      <c r="Q621" s="114" t="s">
        <v>458</v>
      </c>
    </row>
    <row r="622" spans="1:17">
      <c r="A622" s="97">
        <v>621</v>
      </c>
      <c r="B622" s="101" t="s">
        <v>212</v>
      </c>
      <c r="C622" s="101">
        <v>46148</v>
      </c>
      <c r="D622" s="101">
        <v>46196</v>
      </c>
      <c r="E622" s="113">
        <v>4168</v>
      </c>
      <c r="F622" s="98" t="s">
        <v>254</v>
      </c>
      <c r="G622" s="99" t="s">
        <v>144</v>
      </c>
      <c r="H622" s="100" t="s">
        <v>259</v>
      </c>
      <c r="I622" s="104" t="s">
        <v>264</v>
      </c>
      <c r="J622" s="102" t="s">
        <v>146</v>
      </c>
      <c r="K622" s="103">
        <v>7</v>
      </c>
      <c r="L622" s="104" t="s">
        <v>110</v>
      </c>
      <c r="M622" s="104" t="s">
        <v>147</v>
      </c>
      <c r="N622" s="104" t="s">
        <v>211</v>
      </c>
      <c r="O622" s="110">
        <v>1480</v>
      </c>
      <c r="P622" s="110">
        <v>1555</v>
      </c>
      <c r="Q622" s="114" t="s">
        <v>458</v>
      </c>
    </row>
    <row r="623" spans="1:17">
      <c r="A623" s="97">
        <v>622</v>
      </c>
      <c r="B623" s="101" t="s">
        <v>212</v>
      </c>
      <c r="C623" s="101">
        <v>46148</v>
      </c>
      <c r="D623" s="101">
        <v>46196</v>
      </c>
      <c r="E623" s="115">
        <v>2457</v>
      </c>
      <c r="F623" s="98" t="s">
        <v>480</v>
      </c>
      <c r="G623" s="99" t="s">
        <v>101</v>
      </c>
      <c r="H623" s="100" t="s">
        <v>479</v>
      </c>
      <c r="I623" s="104" t="s">
        <v>478</v>
      </c>
      <c r="J623" s="102" t="s">
        <v>481</v>
      </c>
      <c r="K623" s="103">
        <v>14</v>
      </c>
      <c r="L623" s="104" t="s">
        <v>110</v>
      </c>
      <c r="M623" s="104" t="s">
        <v>147</v>
      </c>
      <c r="N623" s="104" t="s">
        <v>211</v>
      </c>
      <c r="O623" s="110">
        <v>1480</v>
      </c>
      <c r="P623" s="110">
        <v>1555</v>
      </c>
      <c r="Q623" s="114" t="s">
        <v>458</v>
      </c>
    </row>
    <row r="624" spans="1:17">
      <c r="A624" s="97">
        <v>623</v>
      </c>
      <c r="B624" s="101" t="s">
        <v>212</v>
      </c>
      <c r="C624" s="101">
        <v>46148</v>
      </c>
      <c r="D624" s="101">
        <v>46196</v>
      </c>
      <c r="E624" s="115">
        <v>2458</v>
      </c>
      <c r="F624" s="98" t="s">
        <v>480</v>
      </c>
      <c r="G624" s="99" t="s">
        <v>101</v>
      </c>
      <c r="H624" s="100" t="s">
        <v>479</v>
      </c>
      <c r="I624" s="104" t="s">
        <v>478</v>
      </c>
      <c r="J624" s="102" t="s">
        <v>481</v>
      </c>
      <c r="K624" s="103">
        <v>14</v>
      </c>
      <c r="L624" s="104" t="s">
        <v>110</v>
      </c>
      <c r="M624" s="104" t="s">
        <v>147</v>
      </c>
      <c r="N624" s="104" t="s">
        <v>211</v>
      </c>
      <c r="O624" s="110">
        <v>1480</v>
      </c>
      <c r="P624" s="110">
        <v>1555</v>
      </c>
      <c r="Q624" s="114" t="s">
        <v>458</v>
      </c>
    </row>
    <row r="625" spans="1:17">
      <c r="A625" s="97">
        <v>624</v>
      </c>
      <c r="B625" s="101" t="s">
        <v>212</v>
      </c>
      <c r="C625" s="101">
        <v>46148</v>
      </c>
      <c r="D625" s="101">
        <v>46196</v>
      </c>
      <c r="E625" s="115">
        <v>2465</v>
      </c>
      <c r="F625" s="98" t="s">
        <v>480</v>
      </c>
      <c r="G625" s="99" t="s">
        <v>101</v>
      </c>
      <c r="H625" s="100" t="s">
        <v>479</v>
      </c>
      <c r="I625" s="104" t="s">
        <v>478</v>
      </c>
      <c r="J625" s="102" t="s">
        <v>481</v>
      </c>
      <c r="K625" s="103">
        <v>7</v>
      </c>
      <c r="L625" s="104" t="s">
        <v>110</v>
      </c>
      <c r="M625" s="104" t="s">
        <v>147</v>
      </c>
      <c r="N625" s="104" t="s">
        <v>211</v>
      </c>
      <c r="O625" s="110">
        <v>1480</v>
      </c>
      <c r="P625" s="110">
        <v>1555</v>
      </c>
      <c r="Q625" s="114" t="s">
        <v>458</v>
      </c>
    </row>
    <row r="626" spans="1:17" ht="15" customHeight="1">
      <c r="A626" s="97">
        <v>625</v>
      </c>
      <c r="B626" s="101" t="s">
        <v>513</v>
      </c>
      <c r="C626" s="101">
        <v>46192</v>
      </c>
      <c r="D626" s="117">
        <v>46197</v>
      </c>
      <c r="E626" s="106">
        <v>65160</v>
      </c>
      <c r="F626" s="98" t="s">
        <v>512</v>
      </c>
      <c r="G626" s="99" t="s">
        <v>101</v>
      </c>
      <c r="H626" s="100" t="s">
        <v>504</v>
      </c>
      <c r="I626" s="104" t="s">
        <v>316</v>
      </c>
      <c r="J626" s="102" t="s">
        <v>250</v>
      </c>
      <c r="K626" s="103">
        <v>30</v>
      </c>
      <c r="L626" s="104" t="s">
        <v>110</v>
      </c>
      <c r="M626" s="104" t="s">
        <v>139</v>
      </c>
      <c r="N626" s="104"/>
      <c r="O626" s="109"/>
      <c r="P626" s="109"/>
      <c r="Q626" s="105" t="s">
        <v>458</v>
      </c>
    </row>
    <row r="627" spans="1:17" ht="15" customHeight="1">
      <c r="A627" s="97">
        <v>626</v>
      </c>
      <c r="B627" s="101" t="s">
        <v>513</v>
      </c>
      <c r="C627" s="101">
        <v>46192</v>
      </c>
      <c r="D627" s="117">
        <v>46197</v>
      </c>
      <c r="E627" s="106">
        <v>65155</v>
      </c>
      <c r="F627" s="98" t="s">
        <v>514</v>
      </c>
      <c r="G627" s="99" t="s">
        <v>101</v>
      </c>
      <c r="H627" s="100" t="s">
        <v>505</v>
      </c>
      <c r="I627" s="104" t="s">
        <v>317</v>
      </c>
      <c r="J627" s="102" t="s">
        <v>250</v>
      </c>
      <c r="K627" s="103">
        <v>30</v>
      </c>
      <c r="L627" s="104" t="s">
        <v>110</v>
      </c>
      <c r="M627" s="104" t="s">
        <v>139</v>
      </c>
      <c r="N627" s="104"/>
      <c r="O627" s="109"/>
      <c r="P627" s="109"/>
      <c r="Q627" s="105" t="s">
        <v>458</v>
      </c>
    </row>
    <row r="628" spans="1:17" ht="15" customHeight="1">
      <c r="A628" s="97">
        <v>627</v>
      </c>
      <c r="B628" s="101" t="s">
        <v>513</v>
      </c>
      <c r="C628" s="101">
        <v>46192</v>
      </c>
      <c r="D628" s="117">
        <v>46197</v>
      </c>
      <c r="E628" s="106">
        <v>65158</v>
      </c>
      <c r="F628" s="98" t="s">
        <v>512</v>
      </c>
      <c r="G628" s="99" t="s">
        <v>101</v>
      </c>
      <c r="H628" s="100" t="s">
        <v>504</v>
      </c>
      <c r="I628" s="104" t="s">
        <v>316</v>
      </c>
      <c r="J628" s="102" t="s">
        <v>250</v>
      </c>
      <c r="K628" s="103">
        <v>30</v>
      </c>
      <c r="L628" s="104" t="s">
        <v>110</v>
      </c>
      <c r="M628" s="104" t="s">
        <v>139</v>
      </c>
      <c r="N628" s="104"/>
      <c r="O628" s="109"/>
      <c r="P628" s="109"/>
      <c r="Q628" s="105" t="s">
        <v>458</v>
      </c>
    </row>
    <row r="629" spans="1:17" ht="15" customHeight="1">
      <c r="A629" s="97">
        <v>628</v>
      </c>
      <c r="B629" s="101" t="s">
        <v>513</v>
      </c>
      <c r="C629" s="101">
        <v>46192</v>
      </c>
      <c r="D629" s="117">
        <v>46197</v>
      </c>
      <c r="E629" s="106">
        <v>65156</v>
      </c>
      <c r="F629" s="98" t="s">
        <v>514</v>
      </c>
      <c r="G629" s="99" t="s">
        <v>101</v>
      </c>
      <c r="H629" s="100" t="s">
        <v>505</v>
      </c>
      <c r="I629" s="104" t="s">
        <v>317</v>
      </c>
      <c r="J629" s="102" t="s">
        <v>250</v>
      </c>
      <c r="K629" s="103">
        <v>30</v>
      </c>
      <c r="L629" s="104" t="s">
        <v>110</v>
      </c>
      <c r="M629" s="104" t="s">
        <v>139</v>
      </c>
      <c r="N629" s="104"/>
      <c r="O629" s="109"/>
      <c r="P629" s="109"/>
      <c r="Q629" s="105" t="s">
        <v>458</v>
      </c>
    </row>
    <row r="630" spans="1:17" ht="15" customHeight="1">
      <c r="A630" s="97">
        <v>629</v>
      </c>
      <c r="B630" s="101" t="s">
        <v>513</v>
      </c>
      <c r="C630" s="101">
        <v>46192</v>
      </c>
      <c r="D630" s="117">
        <v>46197</v>
      </c>
      <c r="E630" s="106">
        <v>65159</v>
      </c>
      <c r="F630" s="98" t="s">
        <v>512</v>
      </c>
      <c r="G630" s="99" t="s">
        <v>101</v>
      </c>
      <c r="H630" s="100" t="s">
        <v>504</v>
      </c>
      <c r="I630" s="104" t="s">
        <v>316</v>
      </c>
      <c r="J630" s="102" t="s">
        <v>250</v>
      </c>
      <c r="K630" s="103">
        <v>30</v>
      </c>
      <c r="L630" s="104" t="s">
        <v>110</v>
      </c>
      <c r="M630" s="104" t="s">
        <v>139</v>
      </c>
      <c r="N630" s="104"/>
      <c r="O630" s="109"/>
      <c r="P630" s="109"/>
      <c r="Q630" s="105" t="s">
        <v>458</v>
      </c>
    </row>
    <row r="631" spans="1:17" ht="15" customHeight="1">
      <c r="A631" s="97">
        <v>630</v>
      </c>
      <c r="B631" s="101" t="s">
        <v>513</v>
      </c>
      <c r="C631" s="101">
        <v>46192</v>
      </c>
      <c r="D631" s="117">
        <v>46197</v>
      </c>
      <c r="E631" s="106">
        <v>65153</v>
      </c>
      <c r="F631" s="98" t="s">
        <v>544</v>
      </c>
      <c r="G631" s="99" t="s">
        <v>144</v>
      </c>
      <c r="H631" s="100" t="s">
        <v>543</v>
      </c>
      <c r="I631" s="104" t="s">
        <v>542</v>
      </c>
      <c r="J631" s="102" t="s">
        <v>250</v>
      </c>
      <c r="K631" s="103">
        <v>30</v>
      </c>
      <c r="L631" s="104" t="s">
        <v>110</v>
      </c>
      <c r="M631" s="104" t="s">
        <v>139</v>
      </c>
      <c r="N631" s="104"/>
      <c r="O631" s="109"/>
      <c r="P631" s="109"/>
      <c r="Q631" s="105" t="s">
        <v>458</v>
      </c>
    </row>
    <row r="632" spans="1:17" ht="15" customHeight="1">
      <c r="A632" s="97">
        <v>631</v>
      </c>
      <c r="B632" s="101" t="s">
        <v>513</v>
      </c>
      <c r="C632" s="101">
        <v>46192</v>
      </c>
      <c r="D632" s="117">
        <v>46197</v>
      </c>
      <c r="E632" s="106">
        <v>65183</v>
      </c>
      <c r="F632" s="98" t="s">
        <v>189</v>
      </c>
      <c r="G632" s="99" t="s">
        <v>144</v>
      </c>
      <c r="H632" s="100">
        <v>35</v>
      </c>
      <c r="I632" s="104" t="s">
        <v>194</v>
      </c>
      <c r="J632" s="102" t="s">
        <v>250</v>
      </c>
      <c r="K632" s="103">
        <v>30</v>
      </c>
      <c r="L632" s="104" t="s">
        <v>110</v>
      </c>
      <c r="M632" s="104" t="s">
        <v>139</v>
      </c>
      <c r="N632" s="104"/>
      <c r="O632" s="109"/>
      <c r="P632" s="109"/>
      <c r="Q632" s="105" t="s">
        <v>458</v>
      </c>
    </row>
    <row r="633" spans="1:17" ht="15" customHeight="1">
      <c r="A633" s="97">
        <v>632</v>
      </c>
      <c r="B633" s="101" t="s">
        <v>513</v>
      </c>
      <c r="C633" s="101">
        <v>46192</v>
      </c>
      <c r="D633" s="117">
        <v>46197</v>
      </c>
      <c r="E633" s="106">
        <v>65151</v>
      </c>
      <c r="F633" s="98" t="s">
        <v>544</v>
      </c>
      <c r="G633" s="99" t="s">
        <v>144</v>
      </c>
      <c r="H633" s="100" t="s">
        <v>543</v>
      </c>
      <c r="I633" s="104" t="s">
        <v>542</v>
      </c>
      <c r="J633" s="102" t="s">
        <v>250</v>
      </c>
      <c r="K633" s="103">
        <v>30</v>
      </c>
      <c r="L633" s="104" t="s">
        <v>110</v>
      </c>
      <c r="M633" s="104" t="s">
        <v>139</v>
      </c>
      <c r="N633" s="104"/>
      <c r="O633" s="109"/>
      <c r="P633" s="109"/>
      <c r="Q633" s="105" t="s">
        <v>458</v>
      </c>
    </row>
    <row r="634" spans="1:17" ht="15" customHeight="1">
      <c r="A634" s="97">
        <v>633</v>
      </c>
      <c r="B634" s="101" t="s">
        <v>513</v>
      </c>
      <c r="C634" s="101">
        <v>46192</v>
      </c>
      <c r="D634" s="117">
        <v>46197</v>
      </c>
      <c r="E634" s="106">
        <v>65180</v>
      </c>
      <c r="F634" s="98" t="s">
        <v>544</v>
      </c>
      <c r="G634" s="99" t="s">
        <v>144</v>
      </c>
      <c r="H634" s="100" t="s">
        <v>543</v>
      </c>
      <c r="I634" s="104" t="s">
        <v>542</v>
      </c>
      <c r="J634" s="102" t="s">
        <v>250</v>
      </c>
      <c r="K634" s="103">
        <v>30</v>
      </c>
      <c r="L634" s="104" t="s">
        <v>110</v>
      </c>
      <c r="M634" s="104" t="s">
        <v>139</v>
      </c>
      <c r="N634" s="104"/>
      <c r="O634" s="109"/>
      <c r="P634" s="109"/>
      <c r="Q634" s="105" t="s">
        <v>458</v>
      </c>
    </row>
    <row r="635" spans="1:17" ht="15" customHeight="1">
      <c r="A635" s="97">
        <v>634</v>
      </c>
      <c r="B635" s="101" t="s">
        <v>513</v>
      </c>
      <c r="C635" s="101">
        <v>46192</v>
      </c>
      <c r="D635" s="117">
        <v>46198</v>
      </c>
      <c r="E635" s="106">
        <v>65186</v>
      </c>
      <c r="F635" s="98" t="s">
        <v>189</v>
      </c>
      <c r="G635" s="99" t="s">
        <v>144</v>
      </c>
      <c r="H635" s="100">
        <v>33</v>
      </c>
      <c r="I635" s="104" t="s">
        <v>194</v>
      </c>
      <c r="J635" s="102" t="s">
        <v>250</v>
      </c>
      <c r="K635" s="103">
        <v>30</v>
      </c>
      <c r="L635" s="104" t="s">
        <v>110</v>
      </c>
      <c r="M635" s="104" t="s">
        <v>139</v>
      </c>
      <c r="N635" s="104"/>
      <c r="O635" s="109"/>
      <c r="P635" s="109"/>
      <c r="Q635" s="105" t="s">
        <v>458</v>
      </c>
    </row>
    <row r="636" spans="1:17" ht="15" customHeight="1">
      <c r="A636" s="97">
        <v>635</v>
      </c>
      <c r="B636" s="101" t="s">
        <v>513</v>
      </c>
      <c r="C636" s="101">
        <v>46192</v>
      </c>
      <c r="D636" s="117">
        <v>46198</v>
      </c>
      <c r="E636" s="106">
        <v>65185</v>
      </c>
      <c r="F636" s="98" t="s">
        <v>189</v>
      </c>
      <c r="G636" s="99" t="s">
        <v>144</v>
      </c>
      <c r="H636" s="100">
        <v>33</v>
      </c>
      <c r="I636" s="104" t="s">
        <v>194</v>
      </c>
      <c r="J636" s="102" t="s">
        <v>250</v>
      </c>
      <c r="K636" s="103">
        <v>30</v>
      </c>
      <c r="L636" s="104" t="s">
        <v>110</v>
      </c>
      <c r="M636" s="104" t="s">
        <v>139</v>
      </c>
      <c r="N636" s="104"/>
      <c r="O636" s="109"/>
      <c r="P636" s="109"/>
      <c r="Q636" s="105" t="s">
        <v>458</v>
      </c>
    </row>
    <row r="637" spans="1:17">
      <c r="A637" s="97">
        <v>636</v>
      </c>
      <c r="B637" s="101" t="s">
        <v>182</v>
      </c>
      <c r="C637" s="101">
        <v>46148</v>
      </c>
      <c r="D637" s="101">
        <v>46198</v>
      </c>
      <c r="E637" s="113">
        <v>4236</v>
      </c>
      <c r="F637" s="98" t="s">
        <v>366</v>
      </c>
      <c r="G637" s="99" t="s">
        <v>144</v>
      </c>
      <c r="H637" s="100" t="s">
        <v>218</v>
      </c>
      <c r="I637" s="104" t="s">
        <v>389</v>
      </c>
      <c r="J637" s="102" t="s">
        <v>146</v>
      </c>
      <c r="K637" s="103">
        <v>7</v>
      </c>
      <c r="L637" s="104" t="s">
        <v>100</v>
      </c>
      <c r="M637" s="104" t="s">
        <v>147</v>
      </c>
      <c r="N637" s="104" t="s">
        <v>211</v>
      </c>
      <c r="O637" s="110">
        <v>950</v>
      </c>
      <c r="P637" s="110">
        <v>1160</v>
      </c>
      <c r="Q637" s="114" t="s">
        <v>458</v>
      </c>
    </row>
    <row r="638" spans="1:17">
      <c r="A638" s="97">
        <v>637</v>
      </c>
      <c r="B638" s="101" t="s">
        <v>182</v>
      </c>
      <c r="C638" s="101">
        <v>46148</v>
      </c>
      <c r="D638" s="101">
        <v>46198</v>
      </c>
      <c r="E638" s="113">
        <v>4232</v>
      </c>
      <c r="F638" s="98" t="s">
        <v>221</v>
      </c>
      <c r="G638" s="99" t="s">
        <v>144</v>
      </c>
      <c r="H638" s="100" t="s">
        <v>196</v>
      </c>
      <c r="I638" s="104" t="s">
        <v>203</v>
      </c>
      <c r="J638" s="102" t="s">
        <v>146</v>
      </c>
      <c r="K638" s="103">
        <v>7</v>
      </c>
      <c r="L638" s="104" t="s">
        <v>100</v>
      </c>
      <c r="M638" s="104" t="s">
        <v>147</v>
      </c>
      <c r="N638" s="104" t="s">
        <v>211</v>
      </c>
      <c r="O638" s="110">
        <v>950</v>
      </c>
      <c r="P638" s="110">
        <v>1160</v>
      </c>
      <c r="Q638" s="114" t="s">
        <v>458</v>
      </c>
    </row>
    <row r="639" spans="1:17">
      <c r="A639" s="97">
        <v>638</v>
      </c>
      <c r="B639" s="101" t="s">
        <v>182</v>
      </c>
      <c r="C639" s="101">
        <v>46148</v>
      </c>
      <c r="D639" s="101">
        <v>46198</v>
      </c>
      <c r="E639" s="113">
        <v>4225</v>
      </c>
      <c r="F639" s="98" t="s">
        <v>298</v>
      </c>
      <c r="G639" s="99" t="s">
        <v>144</v>
      </c>
      <c r="H639" s="100" t="s">
        <v>199</v>
      </c>
      <c r="I639" s="104" t="s">
        <v>477</v>
      </c>
      <c r="J639" s="102" t="s">
        <v>146</v>
      </c>
      <c r="K639" s="103">
        <v>7</v>
      </c>
      <c r="L639" s="104" t="s">
        <v>100</v>
      </c>
      <c r="M639" s="104" t="s">
        <v>147</v>
      </c>
      <c r="N639" s="104" t="s">
        <v>211</v>
      </c>
      <c r="O639" s="110">
        <v>950</v>
      </c>
      <c r="P639" s="110">
        <v>1160</v>
      </c>
      <c r="Q639" s="114" t="s">
        <v>458</v>
      </c>
    </row>
    <row r="640" spans="1:17">
      <c r="A640" s="97">
        <v>639</v>
      </c>
      <c r="B640" s="101" t="s">
        <v>182</v>
      </c>
      <c r="C640" s="101">
        <v>46148</v>
      </c>
      <c r="D640" s="101">
        <v>46198</v>
      </c>
      <c r="E640" s="113">
        <v>4222</v>
      </c>
      <c r="F640" s="98" t="s">
        <v>366</v>
      </c>
      <c r="G640" s="99" t="s">
        <v>144</v>
      </c>
      <c r="H640" s="100" t="s">
        <v>218</v>
      </c>
      <c r="I640" s="104" t="s">
        <v>389</v>
      </c>
      <c r="J640" s="102" t="s">
        <v>146</v>
      </c>
      <c r="K640" s="103">
        <v>7</v>
      </c>
      <c r="L640" s="104" t="s">
        <v>100</v>
      </c>
      <c r="M640" s="104" t="s">
        <v>147</v>
      </c>
      <c r="N640" s="104" t="s">
        <v>211</v>
      </c>
      <c r="O640" s="110">
        <v>950</v>
      </c>
      <c r="P640" s="110">
        <v>1160</v>
      </c>
      <c r="Q640" s="114" t="s">
        <v>458</v>
      </c>
    </row>
    <row r="641" spans="1:17">
      <c r="A641" s="97">
        <v>640</v>
      </c>
      <c r="B641" s="101" t="s">
        <v>182</v>
      </c>
      <c r="C641" s="101">
        <v>46148</v>
      </c>
      <c r="D641" s="101">
        <v>46198</v>
      </c>
      <c r="E641" s="113">
        <v>4234</v>
      </c>
      <c r="F641" s="98" t="s">
        <v>320</v>
      </c>
      <c r="G641" s="99" t="s">
        <v>144</v>
      </c>
      <c r="H641" s="100" t="s">
        <v>305</v>
      </c>
      <c r="I641" s="104" t="s">
        <v>215</v>
      </c>
      <c r="J641" s="102" t="s">
        <v>146</v>
      </c>
      <c r="K641" s="103">
        <v>7</v>
      </c>
      <c r="L641" s="104" t="s">
        <v>100</v>
      </c>
      <c r="M641" s="104" t="s">
        <v>147</v>
      </c>
      <c r="N641" s="104" t="s">
        <v>211</v>
      </c>
      <c r="O641" s="110">
        <v>950</v>
      </c>
      <c r="P641" s="110">
        <v>1160</v>
      </c>
      <c r="Q641" s="114" t="s">
        <v>458</v>
      </c>
    </row>
    <row r="642" spans="1:17">
      <c r="A642" s="97">
        <v>641</v>
      </c>
      <c r="B642" s="101" t="s">
        <v>182</v>
      </c>
      <c r="C642" s="101">
        <v>46148</v>
      </c>
      <c r="D642" s="101">
        <v>46198</v>
      </c>
      <c r="E642" s="113">
        <v>2431</v>
      </c>
      <c r="F642" s="98" t="s">
        <v>221</v>
      </c>
      <c r="G642" s="99" t="s">
        <v>144</v>
      </c>
      <c r="H642" s="100" t="s">
        <v>196</v>
      </c>
      <c r="I642" s="104" t="s">
        <v>203</v>
      </c>
      <c r="J642" s="102" t="s">
        <v>146</v>
      </c>
      <c r="K642" s="103">
        <v>7</v>
      </c>
      <c r="L642" s="104" t="s">
        <v>100</v>
      </c>
      <c r="M642" s="104" t="s">
        <v>147</v>
      </c>
      <c r="N642" s="104" t="s">
        <v>211</v>
      </c>
      <c r="O642" s="110">
        <v>950</v>
      </c>
      <c r="P642" s="110">
        <v>1160</v>
      </c>
      <c r="Q642" s="114" t="s">
        <v>458</v>
      </c>
    </row>
    <row r="643" spans="1:17">
      <c r="A643" s="97">
        <v>642</v>
      </c>
      <c r="B643" s="101" t="s">
        <v>182</v>
      </c>
      <c r="C643" s="101">
        <v>46148</v>
      </c>
      <c r="D643" s="101">
        <v>46198</v>
      </c>
      <c r="E643" s="113">
        <v>4229</v>
      </c>
      <c r="F643" s="98" t="s">
        <v>256</v>
      </c>
      <c r="G643" s="99" t="s">
        <v>144</v>
      </c>
      <c r="H643" s="100" t="s">
        <v>261</v>
      </c>
      <c r="I643" s="104" t="s">
        <v>268</v>
      </c>
      <c r="J643" s="102" t="s">
        <v>146</v>
      </c>
      <c r="K643" s="103">
        <v>14</v>
      </c>
      <c r="L643" s="104" t="s">
        <v>100</v>
      </c>
      <c r="M643" s="104" t="s">
        <v>147</v>
      </c>
      <c r="N643" s="104" t="s">
        <v>211</v>
      </c>
      <c r="O643" s="110">
        <v>950</v>
      </c>
      <c r="P643" s="110">
        <v>1160</v>
      </c>
      <c r="Q643" s="114" t="s">
        <v>458</v>
      </c>
    </row>
    <row r="644" spans="1:17">
      <c r="A644" s="97">
        <v>643</v>
      </c>
      <c r="B644" s="101" t="s">
        <v>182</v>
      </c>
      <c r="C644" s="101">
        <v>46148</v>
      </c>
      <c r="D644" s="101">
        <v>46198</v>
      </c>
      <c r="E644" s="113">
        <v>4227</v>
      </c>
      <c r="F644" s="98" t="s">
        <v>298</v>
      </c>
      <c r="G644" s="99" t="s">
        <v>144</v>
      </c>
      <c r="H644" s="100" t="s">
        <v>494</v>
      </c>
      <c r="I644" s="104" t="s">
        <v>292</v>
      </c>
      <c r="J644" s="102" t="s">
        <v>146</v>
      </c>
      <c r="K644" s="103">
        <v>14</v>
      </c>
      <c r="L644" s="104" t="s">
        <v>100</v>
      </c>
      <c r="M644" s="104" t="s">
        <v>147</v>
      </c>
      <c r="N644" s="104" t="s">
        <v>211</v>
      </c>
      <c r="O644" s="110">
        <v>950</v>
      </c>
      <c r="P644" s="110">
        <v>1160</v>
      </c>
      <c r="Q644" s="114" t="s">
        <v>458</v>
      </c>
    </row>
    <row r="645" spans="1:17">
      <c r="A645" s="97">
        <v>644</v>
      </c>
      <c r="B645" s="101" t="s">
        <v>182</v>
      </c>
      <c r="C645" s="101">
        <v>46148</v>
      </c>
      <c r="D645" s="101">
        <v>46198</v>
      </c>
      <c r="E645" s="113">
        <v>4224</v>
      </c>
      <c r="F645" s="98" t="s">
        <v>366</v>
      </c>
      <c r="G645" s="99" t="s">
        <v>144</v>
      </c>
      <c r="H645" s="100" t="s">
        <v>199</v>
      </c>
      <c r="I645" s="104" t="s">
        <v>477</v>
      </c>
      <c r="J645" s="102" t="s">
        <v>146</v>
      </c>
      <c r="K645" s="103">
        <v>7</v>
      </c>
      <c r="L645" s="104" t="s">
        <v>100</v>
      </c>
      <c r="M645" s="104" t="s">
        <v>147</v>
      </c>
      <c r="N645" s="104" t="s">
        <v>211</v>
      </c>
      <c r="O645" s="110">
        <v>950</v>
      </c>
      <c r="P645" s="110">
        <v>1160</v>
      </c>
      <c r="Q645" s="114" t="s">
        <v>458</v>
      </c>
    </row>
    <row r="646" spans="1:17">
      <c r="A646" s="97">
        <v>645</v>
      </c>
      <c r="B646" s="101" t="s">
        <v>182</v>
      </c>
      <c r="C646" s="101">
        <v>46148</v>
      </c>
      <c r="D646" s="101">
        <v>46198</v>
      </c>
      <c r="E646" s="113">
        <v>4221</v>
      </c>
      <c r="F646" s="98" t="s">
        <v>320</v>
      </c>
      <c r="G646" s="99" t="s">
        <v>144</v>
      </c>
      <c r="H646" s="100" t="s">
        <v>218</v>
      </c>
      <c r="I646" s="104" t="s">
        <v>389</v>
      </c>
      <c r="J646" s="102" t="s">
        <v>146</v>
      </c>
      <c r="K646" s="103">
        <v>7</v>
      </c>
      <c r="L646" s="104" t="s">
        <v>100</v>
      </c>
      <c r="M646" s="104" t="s">
        <v>147</v>
      </c>
      <c r="N646" s="104" t="s">
        <v>211</v>
      </c>
      <c r="O646" s="110">
        <v>950</v>
      </c>
      <c r="P646" s="110">
        <v>1160</v>
      </c>
      <c r="Q646" s="114" t="s">
        <v>458</v>
      </c>
    </row>
    <row r="647" spans="1:17">
      <c r="A647" s="97">
        <v>646</v>
      </c>
      <c r="B647" s="101" t="s">
        <v>182</v>
      </c>
      <c r="C647" s="101">
        <v>46148</v>
      </c>
      <c r="D647" s="101">
        <v>46198</v>
      </c>
      <c r="E647" s="113">
        <v>4233</v>
      </c>
      <c r="F647" s="98" t="s">
        <v>320</v>
      </c>
      <c r="G647" s="99" t="s">
        <v>144</v>
      </c>
      <c r="H647" s="100" t="s">
        <v>305</v>
      </c>
      <c r="I647" s="104" t="s">
        <v>215</v>
      </c>
      <c r="J647" s="102" t="s">
        <v>146</v>
      </c>
      <c r="K647" s="103">
        <v>7</v>
      </c>
      <c r="L647" s="104" t="s">
        <v>100</v>
      </c>
      <c r="M647" s="104" t="s">
        <v>147</v>
      </c>
      <c r="N647" s="104" t="s">
        <v>211</v>
      </c>
      <c r="O647" s="110">
        <v>950</v>
      </c>
      <c r="P647" s="110">
        <v>1160</v>
      </c>
      <c r="Q647" s="114" t="s">
        <v>458</v>
      </c>
    </row>
    <row r="648" spans="1:17">
      <c r="A648" s="97">
        <v>647</v>
      </c>
      <c r="B648" s="101" t="s">
        <v>182</v>
      </c>
      <c r="C648" s="101">
        <v>46148</v>
      </c>
      <c r="D648" s="101">
        <v>46198</v>
      </c>
      <c r="E648" s="113">
        <v>4219</v>
      </c>
      <c r="F648" s="98" t="s">
        <v>254</v>
      </c>
      <c r="G648" s="99" t="s">
        <v>144</v>
      </c>
      <c r="H648" s="100" t="s">
        <v>259</v>
      </c>
      <c r="I648" s="104" t="s">
        <v>264</v>
      </c>
      <c r="J648" s="102" t="s">
        <v>146</v>
      </c>
      <c r="K648" s="103">
        <v>7</v>
      </c>
      <c r="L648" s="104" t="s">
        <v>100</v>
      </c>
      <c r="M648" s="104" t="s">
        <v>147</v>
      </c>
      <c r="N648" s="104" t="s">
        <v>211</v>
      </c>
      <c r="O648" s="110">
        <v>950</v>
      </c>
      <c r="P648" s="110">
        <v>1160</v>
      </c>
      <c r="Q648" s="114" t="s">
        <v>458</v>
      </c>
    </row>
    <row r="649" spans="1:17">
      <c r="A649" s="97">
        <v>648</v>
      </c>
      <c r="B649" s="101" t="s">
        <v>182</v>
      </c>
      <c r="C649" s="101">
        <v>46148</v>
      </c>
      <c r="D649" s="101">
        <v>46198</v>
      </c>
      <c r="E649" s="113">
        <v>4230</v>
      </c>
      <c r="F649" s="98" t="s">
        <v>221</v>
      </c>
      <c r="G649" s="99" t="s">
        <v>144</v>
      </c>
      <c r="H649" s="100" t="s">
        <v>196</v>
      </c>
      <c r="I649" s="104" t="s">
        <v>203</v>
      </c>
      <c r="J649" s="102" t="s">
        <v>146</v>
      </c>
      <c r="K649" s="103">
        <v>7</v>
      </c>
      <c r="L649" s="104" t="s">
        <v>100</v>
      </c>
      <c r="M649" s="104" t="s">
        <v>147</v>
      </c>
      <c r="N649" s="104" t="s">
        <v>211</v>
      </c>
      <c r="O649" s="110">
        <v>950</v>
      </c>
      <c r="P649" s="110">
        <v>1160</v>
      </c>
      <c r="Q649" s="114" t="s">
        <v>458</v>
      </c>
    </row>
    <row r="650" spans="1:17">
      <c r="A650" s="97">
        <v>649</v>
      </c>
      <c r="B650" s="101" t="s">
        <v>182</v>
      </c>
      <c r="C650" s="101">
        <v>46148</v>
      </c>
      <c r="D650" s="101">
        <v>46198</v>
      </c>
      <c r="E650" s="113">
        <v>4228</v>
      </c>
      <c r="F650" s="98" t="s">
        <v>256</v>
      </c>
      <c r="G650" s="99" t="s">
        <v>144</v>
      </c>
      <c r="H650" s="100" t="s">
        <v>261</v>
      </c>
      <c r="I650" s="104" t="s">
        <v>268</v>
      </c>
      <c r="J650" s="102" t="s">
        <v>146</v>
      </c>
      <c r="K650" s="103">
        <v>14</v>
      </c>
      <c r="L650" s="104" t="s">
        <v>100</v>
      </c>
      <c r="M650" s="104" t="s">
        <v>147</v>
      </c>
      <c r="N650" s="104" t="s">
        <v>211</v>
      </c>
      <c r="O650" s="110">
        <v>950</v>
      </c>
      <c r="P650" s="110">
        <v>1160</v>
      </c>
      <c r="Q650" s="114" t="s">
        <v>458</v>
      </c>
    </row>
    <row r="651" spans="1:17">
      <c r="A651" s="97">
        <v>650</v>
      </c>
      <c r="B651" s="101" t="s">
        <v>182</v>
      </c>
      <c r="C651" s="101">
        <v>46148</v>
      </c>
      <c r="D651" s="101">
        <v>46198</v>
      </c>
      <c r="E651" s="113">
        <v>4226</v>
      </c>
      <c r="F651" s="98" t="s">
        <v>493</v>
      </c>
      <c r="G651" s="99" t="s">
        <v>144</v>
      </c>
      <c r="H651" s="100" t="s">
        <v>494</v>
      </c>
      <c r="I651" s="104" t="s">
        <v>292</v>
      </c>
      <c r="J651" s="102" t="s">
        <v>146</v>
      </c>
      <c r="K651" s="103">
        <v>14</v>
      </c>
      <c r="L651" s="104" t="s">
        <v>100</v>
      </c>
      <c r="M651" s="104" t="s">
        <v>147</v>
      </c>
      <c r="N651" s="104" t="s">
        <v>211</v>
      </c>
      <c r="O651" s="110">
        <v>950</v>
      </c>
      <c r="P651" s="110">
        <v>1160</v>
      </c>
      <c r="Q651" s="114" t="s">
        <v>458</v>
      </c>
    </row>
    <row r="652" spans="1:17">
      <c r="A652" s="97">
        <v>651</v>
      </c>
      <c r="B652" s="101" t="s">
        <v>182</v>
      </c>
      <c r="C652" s="101">
        <v>46148</v>
      </c>
      <c r="D652" s="101">
        <v>46198</v>
      </c>
      <c r="E652" s="113">
        <v>4218</v>
      </c>
      <c r="F652" s="98" t="s">
        <v>245</v>
      </c>
      <c r="G652" s="99" t="s">
        <v>144</v>
      </c>
      <c r="H652" s="100" t="s">
        <v>249</v>
      </c>
      <c r="I652" s="104" t="s">
        <v>274</v>
      </c>
      <c r="J652" s="102" t="s">
        <v>146</v>
      </c>
      <c r="K652" s="103">
        <v>7</v>
      </c>
      <c r="L652" s="104" t="s">
        <v>100</v>
      </c>
      <c r="M652" s="104" t="s">
        <v>147</v>
      </c>
      <c r="N652" s="104" t="s">
        <v>211</v>
      </c>
      <c r="O652" s="110">
        <v>950</v>
      </c>
      <c r="P652" s="110">
        <v>1160</v>
      </c>
      <c r="Q652" s="114" t="s">
        <v>458</v>
      </c>
    </row>
    <row r="653" spans="1:17">
      <c r="A653" s="97">
        <v>652</v>
      </c>
      <c r="B653" s="101" t="s">
        <v>182</v>
      </c>
      <c r="C653" s="101">
        <v>46148</v>
      </c>
      <c r="D653" s="101">
        <v>46198</v>
      </c>
      <c r="E653" s="113">
        <v>4223</v>
      </c>
      <c r="F653" s="98" t="s">
        <v>298</v>
      </c>
      <c r="G653" s="99" t="s">
        <v>144</v>
      </c>
      <c r="H653" s="100" t="s">
        <v>199</v>
      </c>
      <c r="I653" s="104" t="s">
        <v>477</v>
      </c>
      <c r="J653" s="102" t="s">
        <v>146</v>
      </c>
      <c r="K653" s="103">
        <v>7</v>
      </c>
      <c r="L653" s="104" t="s">
        <v>100</v>
      </c>
      <c r="M653" s="104" t="s">
        <v>147</v>
      </c>
      <c r="N653" s="104" t="s">
        <v>211</v>
      </c>
      <c r="O653" s="110">
        <v>950</v>
      </c>
      <c r="P653" s="110">
        <v>1160</v>
      </c>
      <c r="Q653" s="114" t="s">
        <v>458</v>
      </c>
    </row>
    <row r="654" spans="1:17">
      <c r="A654" s="97">
        <v>653</v>
      </c>
      <c r="B654" s="101" t="s">
        <v>182</v>
      </c>
      <c r="C654" s="101">
        <v>46148</v>
      </c>
      <c r="D654" s="101">
        <v>46198</v>
      </c>
      <c r="E654" s="113">
        <v>4220</v>
      </c>
      <c r="F654" s="98" t="s">
        <v>366</v>
      </c>
      <c r="G654" s="99" t="s">
        <v>144</v>
      </c>
      <c r="H654" s="100" t="s">
        <v>218</v>
      </c>
      <c r="I654" s="104" t="s">
        <v>389</v>
      </c>
      <c r="J654" s="102" t="s">
        <v>146</v>
      </c>
      <c r="K654" s="103">
        <v>7</v>
      </c>
      <c r="L654" s="104" t="s">
        <v>100</v>
      </c>
      <c r="M654" s="104" t="s">
        <v>147</v>
      </c>
      <c r="N654" s="104" t="s">
        <v>211</v>
      </c>
      <c r="O654" s="110">
        <v>950</v>
      </c>
      <c r="P654" s="110">
        <v>1160</v>
      </c>
      <c r="Q654" s="114" t="s">
        <v>458</v>
      </c>
    </row>
    <row r="655" spans="1:17" ht="15" customHeight="1">
      <c r="A655" s="97">
        <v>654</v>
      </c>
      <c r="B655" s="101" t="s">
        <v>513</v>
      </c>
      <c r="C655" s="101">
        <v>46192</v>
      </c>
      <c r="D655" s="117">
        <v>46199</v>
      </c>
      <c r="E655" s="106">
        <v>65186</v>
      </c>
      <c r="F655" s="98" t="s">
        <v>126</v>
      </c>
      <c r="G655" s="99" t="s">
        <v>144</v>
      </c>
      <c r="H655" s="100">
        <v>33</v>
      </c>
      <c r="I655" s="104" t="s">
        <v>194</v>
      </c>
      <c r="J655" s="102" t="s">
        <v>250</v>
      </c>
      <c r="K655" s="103">
        <v>30</v>
      </c>
      <c r="L655" s="104" t="s">
        <v>110</v>
      </c>
      <c r="M655" s="104" t="s">
        <v>139</v>
      </c>
      <c r="N655" s="104"/>
      <c r="O655" s="109"/>
      <c r="P655" s="109"/>
      <c r="Q655" s="105" t="s">
        <v>458</v>
      </c>
    </row>
    <row r="656" spans="1:17" ht="15" customHeight="1">
      <c r="A656" s="97">
        <v>655</v>
      </c>
      <c r="B656" s="101" t="s">
        <v>513</v>
      </c>
      <c r="C656" s="101">
        <v>46192</v>
      </c>
      <c r="D656" s="117">
        <v>46199</v>
      </c>
      <c r="E656" s="106">
        <v>65187</v>
      </c>
      <c r="F656" s="98" t="s">
        <v>170</v>
      </c>
      <c r="G656" s="99" t="s">
        <v>144</v>
      </c>
      <c r="H656" s="100">
        <v>5</v>
      </c>
      <c r="I656" s="104" t="s">
        <v>545</v>
      </c>
      <c r="J656" s="102" t="s">
        <v>250</v>
      </c>
      <c r="K656" s="103">
        <v>30</v>
      </c>
      <c r="L656" s="104" t="s">
        <v>110</v>
      </c>
      <c r="M656" s="104" t="s">
        <v>139</v>
      </c>
      <c r="N656" s="104"/>
      <c r="O656" s="109"/>
      <c r="P656" s="109"/>
      <c r="Q656" s="105" t="s">
        <v>458</v>
      </c>
    </row>
    <row r="657" spans="1:17">
      <c r="A657" s="97">
        <v>656</v>
      </c>
      <c r="B657" s="101" t="s">
        <v>507</v>
      </c>
      <c r="C657" s="101">
        <v>46198</v>
      </c>
      <c r="D657" s="127">
        <v>46199</v>
      </c>
      <c r="E657" s="106">
        <v>9608</v>
      </c>
      <c r="F657" s="98" t="s">
        <v>512</v>
      </c>
      <c r="G657" s="99" t="s">
        <v>101</v>
      </c>
      <c r="H657" s="105" t="s">
        <v>504</v>
      </c>
      <c r="I657" s="107" t="s">
        <v>316</v>
      </c>
      <c r="J657" s="102" t="s">
        <v>180</v>
      </c>
      <c r="K657" s="103">
        <v>30</v>
      </c>
      <c r="L657" s="104" t="s">
        <v>100</v>
      </c>
      <c r="M657" s="104" t="s">
        <v>139</v>
      </c>
      <c r="N657" s="104"/>
      <c r="O657" s="109"/>
      <c r="P657" s="109"/>
      <c r="Q657" s="114" t="s">
        <v>458</v>
      </c>
    </row>
    <row r="658" spans="1:17">
      <c r="A658" s="97">
        <v>657</v>
      </c>
      <c r="B658" s="101" t="s">
        <v>182</v>
      </c>
      <c r="C658" s="101">
        <v>46148</v>
      </c>
      <c r="D658" s="101">
        <v>46199</v>
      </c>
      <c r="E658" s="113">
        <v>4263</v>
      </c>
      <c r="F658" s="98" t="s">
        <v>493</v>
      </c>
      <c r="G658" s="99" t="s">
        <v>144</v>
      </c>
      <c r="H658" s="100" t="s">
        <v>494</v>
      </c>
      <c r="I658" s="104" t="s">
        <v>292</v>
      </c>
      <c r="J658" s="102" t="s">
        <v>146</v>
      </c>
      <c r="K658" s="103">
        <v>14</v>
      </c>
      <c r="L658" s="104" t="s">
        <v>100</v>
      </c>
      <c r="M658" s="104" t="s">
        <v>147</v>
      </c>
      <c r="N658" s="104" t="s">
        <v>211</v>
      </c>
      <c r="O658" s="110">
        <v>1160</v>
      </c>
      <c r="P658" s="110">
        <v>1240</v>
      </c>
      <c r="Q658" s="114" t="s">
        <v>458</v>
      </c>
    </row>
    <row r="659" spans="1:17">
      <c r="A659" s="97">
        <v>658</v>
      </c>
      <c r="B659" s="101" t="s">
        <v>182</v>
      </c>
      <c r="C659" s="101">
        <v>46148</v>
      </c>
      <c r="D659" s="101">
        <v>46199</v>
      </c>
      <c r="E659" s="113">
        <v>4262</v>
      </c>
      <c r="F659" s="98" t="s">
        <v>253</v>
      </c>
      <c r="G659" s="99" t="s">
        <v>144</v>
      </c>
      <c r="H659" s="100" t="s">
        <v>263</v>
      </c>
      <c r="I659" s="104" t="s">
        <v>177</v>
      </c>
      <c r="J659" s="102" t="s">
        <v>146</v>
      </c>
      <c r="K659" s="103">
        <v>14</v>
      </c>
      <c r="L659" s="104" t="s">
        <v>100</v>
      </c>
      <c r="M659" s="104" t="s">
        <v>147</v>
      </c>
      <c r="N659" s="104" t="s">
        <v>211</v>
      </c>
      <c r="O659" s="110">
        <v>1160</v>
      </c>
      <c r="P659" s="110">
        <v>1240</v>
      </c>
      <c r="Q659" s="114" t="s">
        <v>458</v>
      </c>
    </row>
    <row r="660" spans="1:17">
      <c r="A660" s="97">
        <v>659</v>
      </c>
      <c r="B660" s="101" t="s">
        <v>182</v>
      </c>
      <c r="C660" s="101">
        <v>46148</v>
      </c>
      <c r="D660" s="101">
        <v>46199</v>
      </c>
      <c r="E660" s="113">
        <v>4258</v>
      </c>
      <c r="F660" s="98" t="s">
        <v>320</v>
      </c>
      <c r="G660" s="99" t="s">
        <v>144</v>
      </c>
      <c r="H660" s="100" t="s">
        <v>334</v>
      </c>
      <c r="I660" s="104" t="s">
        <v>215</v>
      </c>
      <c r="J660" s="102" t="s">
        <v>146</v>
      </c>
      <c r="K660" s="103">
        <v>7</v>
      </c>
      <c r="L660" s="104" t="s">
        <v>100</v>
      </c>
      <c r="M660" s="104" t="s">
        <v>147</v>
      </c>
      <c r="N660" s="104" t="s">
        <v>211</v>
      </c>
      <c r="O660" s="110">
        <v>1160</v>
      </c>
      <c r="P660" s="110">
        <v>1240</v>
      </c>
      <c r="Q660" s="114" t="s">
        <v>458</v>
      </c>
    </row>
    <row r="661" spans="1:17">
      <c r="A661" s="97">
        <v>660</v>
      </c>
      <c r="B661" s="101" t="s">
        <v>182</v>
      </c>
      <c r="C661" s="101">
        <v>46148</v>
      </c>
      <c r="D661" s="101">
        <v>46199</v>
      </c>
      <c r="E661" s="113">
        <v>4257</v>
      </c>
      <c r="F661" s="98" t="s">
        <v>320</v>
      </c>
      <c r="G661" s="99" t="s">
        <v>144</v>
      </c>
      <c r="H661" s="100" t="s">
        <v>334</v>
      </c>
      <c r="I661" s="104" t="s">
        <v>215</v>
      </c>
      <c r="J661" s="102" t="s">
        <v>146</v>
      </c>
      <c r="K661" s="103">
        <v>7</v>
      </c>
      <c r="L661" s="104" t="s">
        <v>100</v>
      </c>
      <c r="M661" s="104" t="s">
        <v>147</v>
      </c>
      <c r="N661" s="104" t="s">
        <v>211</v>
      </c>
      <c r="O661" s="110">
        <v>1160</v>
      </c>
      <c r="P661" s="110">
        <v>1240</v>
      </c>
      <c r="Q661" s="114" t="s">
        <v>458</v>
      </c>
    </row>
    <row r="662" spans="1:17">
      <c r="A662" s="97">
        <v>661</v>
      </c>
      <c r="B662" s="101" t="s">
        <v>182</v>
      </c>
      <c r="C662" s="101">
        <v>46148</v>
      </c>
      <c r="D662" s="101">
        <v>46199</v>
      </c>
      <c r="E662" s="113">
        <v>4256</v>
      </c>
      <c r="F662" s="98" t="s">
        <v>320</v>
      </c>
      <c r="G662" s="99" t="s">
        <v>144</v>
      </c>
      <c r="H662" s="100" t="s">
        <v>334</v>
      </c>
      <c r="I662" s="104" t="s">
        <v>215</v>
      </c>
      <c r="J662" s="102" t="s">
        <v>146</v>
      </c>
      <c r="K662" s="103">
        <v>7</v>
      </c>
      <c r="L662" s="104" t="s">
        <v>100</v>
      </c>
      <c r="M662" s="104" t="s">
        <v>147</v>
      </c>
      <c r="N662" s="104" t="s">
        <v>211</v>
      </c>
      <c r="O662" s="110">
        <v>1160</v>
      </c>
      <c r="P662" s="110">
        <v>1240</v>
      </c>
      <c r="Q662" s="114" t="s">
        <v>458</v>
      </c>
    </row>
    <row r="663" spans="1:17">
      <c r="A663" s="97">
        <v>662</v>
      </c>
      <c r="B663" s="101" t="s">
        <v>182</v>
      </c>
      <c r="C663" s="101">
        <v>46148</v>
      </c>
      <c r="D663" s="101">
        <v>46199</v>
      </c>
      <c r="E663" s="113">
        <v>4254</v>
      </c>
      <c r="F663" s="98" t="s">
        <v>221</v>
      </c>
      <c r="G663" s="99" t="s">
        <v>144</v>
      </c>
      <c r="H663" s="100" t="s">
        <v>196</v>
      </c>
      <c r="I663" s="104" t="s">
        <v>203</v>
      </c>
      <c r="J663" s="102" t="s">
        <v>146</v>
      </c>
      <c r="K663" s="103">
        <v>7</v>
      </c>
      <c r="L663" s="104" t="s">
        <v>100</v>
      </c>
      <c r="M663" s="104" t="s">
        <v>147</v>
      </c>
      <c r="N663" s="104" t="s">
        <v>211</v>
      </c>
      <c r="O663" s="110">
        <v>1160</v>
      </c>
      <c r="P663" s="110">
        <v>1240</v>
      </c>
      <c r="Q663" s="114" t="s">
        <v>458</v>
      </c>
    </row>
    <row r="664" spans="1:17">
      <c r="A664" s="97">
        <v>663</v>
      </c>
      <c r="B664" s="101" t="s">
        <v>182</v>
      </c>
      <c r="C664" s="101">
        <v>46148</v>
      </c>
      <c r="D664" s="101">
        <v>46199</v>
      </c>
      <c r="E664" s="113">
        <v>4253</v>
      </c>
      <c r="F664" s="98" t="s">
        <v>221</v>
      </c>
      <c r="G664" s="99" t="s">
        <v>144</v>
      </c>
      <c r="H664" s="100" t="s">
        <v>196</v>
      </c>
      <c r="I664" s="104" t="s">
        <v>203</v>
      </c>
      <c r="J664" s="102" t="s">
        <v>146</v>
      </c>
      <c r="K664" s="103">
        <v>7</v>
      </c>
      <c r="L664" s="104" t="s">
        <v>100</v>
      </c>
      <c r="M664" s="104" t="s">
        <v>147</v>
      </c>
      <c r="N664" s="104" t="s">
        <v>211</v>
      </c>
      <c r="O664" s="110">
        <v>1160</v>
      </c>
      <c r="P664" s="110">
        <v>1240</v>
      </c>
      <c r="Q664" s="114" t="s">
        <v>458</v>
      </c>
    </row>
    <row r="665" spans="1:17">
      <c r="A665" s="97">
        <v>664</v>
      </c>
      <c r="B665" s="101" t="s">
        <v>182</v>
      </c>
      <c r="C665" s="101">
        <v>46148</v>
      </c>
      <c r="D665" s="101">
        <v>46199</v>
      </c>
      <c r="E665" s="113">
        <v>4252</v>
      </c>
      <c r="F665" s="98" t="s">
        <v>376</v>
      </c>
      <c r="G665" s="99" t="s">
        <v>144</v>
      </c>
      <c r="H665" s="100" t="s">
        <v>303</v>
      </c>
      <c r="I665" s="104" t="s">
        <v>339</v>
      </c>
      <c r="J665" s="102" t="s">
        <v>146</v>
      </c>
      <c r="K665" s="103">
        <v>14</v>
      </c>
      <c r="L665" s="104" t="s">
        <v>100</v>
      </c>
      <c r="M665" s="104" t="s">
        <v>147</v>
      </c>
      <c r="N665" s="104" t="s">
        <v>211</v>
      </c>
      <c r="O665" s="110">
        <v>1160</v>
      </c>
      <c r="P665" s="110">
        <v>1240</v>
      </c>
      <c r="Q665" s="114" t="s">
        <v>458</v>
      </c>
    </row>
    <row r="666" spans="1:17">
      <c r="A666" s="97">
        <v>665</v>
      </c>
      <c r="B666" s="101" t="s">
        <v>182</v>
      </c>
      <c r="C666" s="101">
        <v>46148</v>
      </c>
      <c r="D666" s="101">
        <v>46199</v>
      </c>
      <c r="E666" s="113">
        <v>4251</v>
      </c>
      <c r="F666" s="98" t="s">
        <v>376</v>
      </c>
      <c r="G666" s="99" t="s">
        <v>144</v>
      </c>
      <c r="H666" s="100" t="s">
        <v>303</v>
      </c>
      <c r="I666" s="104" t="s">
        <v>339</v>
      </c>
      <c r="J666" s="102" t="s">
        <v>146</v>
      </c>
      <c r="K666" s="103">
        <v>14</v>
      </c>
      <c r="L666" s="104" t="s">
        <v>100</v>
      </c>
      <c r="M666" s="104" t="s">
        <v>147</v>
      </c>
      <c r="N666" s="104" t="s">
        <v>211</v>
      </c>
      <c r="O666" s="110">
        <v>1160</v>
      </c>
      <c r="P666" s="110">
        <v>1240</v>
      </c>
      <c r="Q666" s="114" t="s">
        <v>458</v>
      </c>
    </row>
    <row r="667" spans="1:17">
      <c r="A667" s="97">
        <v>666</v>
      </c>
      <c r="B667" s="101" t="s">
        <v>182</v>
      </c>
      <c r="C667" s="101">
        <v>46148</v>
      </c>
      <c r="D667" s="101">
        <v>46199</v>
      </c>
      <c r="E667" s="113">
        <v>4250</v>
      </c>
      <c r="F667" s="98" t="s">
        <v>298</v>
      </c>
      <c r="G667" s="99" t="s">
        <v>144</v>
      </c>
      <c r="H667" s="100" t="s">
        <v>199</v>
      </c>
      <c r="I667" s="104" t="s">
        <v>477</v>
      </c>
      <c r="J667" s="102" t="s">
        <v>146</v>
      </c>
      <c r="K667" s="103">
        <v>7</v>
      </c>
      <c r="L667" s="104" t="s">
        <v>100</v>
      </c>
      <c r="M667" s="104" t="s">
        <v>147</v>
      </c>
      <c r="N667" s="104" t="s">
        <v>211</v>
      </c>
      <c r="O667" s="110">
        <v>1160</v>
      </c>
      <c r="P667" s="110">
        <v>1240</v>
      </c>
      <c r="Q667" s="114" t="s">
        <v>458</v>
      </c>
    </row>
    <row r="668" spans="1:17">
      <c r="A668" s="97">
        <v>667</v>
      </c>
      <c r="B668" s="101" t="s">
        <v>182</v>
      </c>
      <c r="C668" s="101">
        <v>46148</v>
      </c>
      <c r="D668" s="101">
        <v>46199</v>
      </c>
      <c r="E668" s="113">
        <v>4249</v>
      </c>
      <c r="F668" s="98" t="s">
        <v>298</v>
      </c>
      <c r="G668" s="99" t="s">
        <v>144</v>
      </c>
      <c r="H668" s="100" t="s">
        <v>199</v>
      </c>
      <c r="I668" s="104" t="s">
        <v>477</v>
      </c>
      <c r="J668" s="102" t="s">
        <v>146</v>
      </c>
      <c r="K668" s="103">
        <v>7</v>
      </c>
      <c r="L668" s="104" t="s">
        <v>100</v>
      </c>
      <c r="M668" s="104" t="s">
        <v>147</v>
      </c>
      <c r="N668" s="104" t="s">
        <v>211</v>
      </c>
      <c r="O668" s="110">
        <v>1160</v>
      </c>
      <c r="P668" s="110">
        <v>1240</v>
      </c>
      <c r="Q668" s="114" t="s">
        <v>458</v>
      </c>
    </row>
    <row r="669" spans="1:17">
      <c r="A669" s="97">
        <v>668</v>
      </c>
      <c r="B669" s="101" t="s">
        <v>182</v>
      </c>
      <c r="C669" s="101">
        <v>46148</v>
      </c>
      <c r="D669" s="101">
        <v>46199</v>
      </c>
      <c r="E669" s="113">
        <v>4248</v>
      </c>
      <c r="F669" s="98" t="s">
        <v>362</v>
      </c>
      <c r="G669" s="99" t="s">
        <v>144</v>
      </c>
      <c r="H669" s="100" t="s">
        <v>260</v>
      </c>
      <c r="I669" s="104" t="s">
        <v>265</v>
      </c>
      <c r="J669" s="102" t="s">
        <v>146</v>
      </c>
      <c r="K669" s="103">
        <v>14</v>
      </c>
      <c r="L669" s="104" t="s">
        <v>100</v>
      </c>
      <c r="M669" s="104" t="s">
        <v>147</v>
      </c>
      <c r="N669" s="104" t="s">
        <v>211</v>
      </c>
      <c r="O669" s="110">
        <v>1160</v>
      </c>
      <c r="P669" s="110">
        <v>1240</v>
      </c>
      <c r="Q669" s="114" t="s">
        <v>458</v>
      </c>
    </row>
    <row r="670" spans="1:17">
      <c r="A670" s="97">
        <v>669</v>
      </c>
      <c r="B670" s="101" t="s">
        <v>182</v>
      </c>
      <c r="C670" s="101">
        <v>46148</v>
      </c>
      <c r="D670" s="101">
        <v>46199</v>
      </c>
      <c r="E670" s="113">
        <v>4247</v>
      </c>
      <c r="F670" s="98" t="s">
        <v>320</v>
      </c>
      <c r="G670" s="99" t="s">
        <v>144</v>
      </c>
      <c r="H670" s="100" t="s">
        <v>334</v>
      </c>
      <c r="I670" s="104" t="s">
        <v>215</v>
      </c>
      <c r="J670" s="102" t="s">
        <v>146</v>
      </c>
      <c r="K670" s="103">
        <v>7</v>
      </c>
      <c r="L670" s="104" t="s">
        <v>100</v>
      </c>
      <c r="M670" s="104" t="s">
        <v>147</v>
      </c>
      <c r="N670" s="104" t="s">
        <v>211</v>
      </c>
      <c r="O670" s="110">
        <v>1160</v>
      </c>
      <c r="P670" s="110">
        <v>1240</v>
      </c>
      <c r="Q670" s="114" t="s">
        <v>458</v>
      </c>
    </row>
    <row r="671" spans="1:17">
      <c r="A671" s="97">
        <v>670</v>
      </c>
      <c r="B671" s="101" t="s">
        <v>182</v>
      </c>
      <c r="C671" s="101">
        <v>46148</v>
      </c>
      <c r="D671" s="101">
        <v>46199</v>
      </c>
      <c r="E671" s="113">
        <v>4246</v>
      </c>
      <c r="F671" s="98" t="s">
        <v>320</v>
      </c>
      <c r="G671" s="99" t="s">
        <v>144</v>
      </c>
      <c r="H671" s="100" t="s">
        <v>334</v>
      </c>
      <c r="I671" s="104" t="s">
        <v>215</v>
      </c>
      <c r="J671" s="102" t="s">
        <v>146</v>
      </c>
      <c r="K671" s="103">
        <v>7</v>
      </c>
      <c r="L671" s="104" t="s">
        <v>100</v>
      </c>
      <c r="M671" s="104" t="s">
        <v>147</v>
      </c>
      <c r="N671" s="104" t="s">
        <v>211</v>
      </c>
      <c r="O671" s="110">
        <v>1160</v>
      </c>
      <c r="P671" s="110">
        <v>1240</v>
      </c>
      <c r="Q671" s="114" t="s">
        <v>458</v>
      </c>
    </row>
    <row r="672" spans="1:17">
      <c r="A672" s="97">
        <v>671</v>
      </c>
      <c r="B672" s="101" t="s">
        <v>182</v>
      </c>
      <c r="C672" s="101">
        <v>46148</v>
      </c>
      <c r="D672" s="101">
        <v>46200</v>
      </c>
      <c r="E672" s="113">
        <v>4271</v>
      </c>
      <c r="F672" s="98" t="s">
        <v>366</v>
      </c>
      <c r="G672" s="99" t="s">
        <v>144</v>
      </c>
      <c r="H672" s="100" t="s">
        <v>218</v>
      </c>
      <c r="I672" s="104" t="s">
        <v>389</v>
      </c>
      <c r="J672" s="102" t="s">
        <v>146</v>
      </c>
      <c r="K672" s="103">
        <v>7</v>
      </c>
      <c r="L672" s="104" t="s">
        <v>100</v>
      </c>
      <c r="M672" s="104" t="s">
        <v>147</v>
      </c>
      <c r="N672" s="104" t="s">
        <v>211</v>
      </c>
      <c r="O672" s="110">
        <v>1240</v>
      </c>
      <c r="P672" s="110">
        <v>1305</v>
      </c>
      <c r="Q672" s="114" t="s">
        <v>458</v>
      </c>
    </row>
    <row r="673" spans="1:17">
      <c r="A673" s="97">
        <v>672</v>
      </c>
      <c r="B673" s="101" t="s">
        <v>182</v>
      </c>
      <c r="C673" s="101">
        <v>46148</v>
      </c>
      <c r="D673" s="101">
        <v>46200</v>
      </c>
      <c r="E673" s="113">
        <v>4270</v>
      </c>
      <c r="F673" s="98" t="s">
        <v>366</v>
      </c>
      <c r="G673" s="99" t="s">
        <v>144</v>
      </c>
      <c r="H673" s="100" t="s">
        <v>218</v>
      </c>
      <c r="I673" s="104" t="s">
        <v>389</v>
      </c>
      <c r="J673" s="102" t="s">
        <v>146</v>
      </c>
      <c r="K673" s="103">
        <v>7</v>
      </c>
      <c r="L673" s="104" t="s">
        <v>100</v>
      </c>
      <c r="M673" s="104" t="s">
        <v>147</v>
      </c>
      <c r="N673" s="104" t="s">
        <v>211</v>
      </c>
      <c r="O673" s="110">
        <v>1240</v>
      </c>
      <c r="P673" s="110">
        <v>1305</v>
      </c>
      <c r="Q673" s="114" t="s">
        <v>458</v>
      </c>
    </row>
    <row r="674" spans="1:17">
      <c r="A674" s="97">
        <v>673</v>
      </c>
      <c r="B674" s="101" t="s">
        <v>182</v>
      </c>
      <c r="C674" s="101">
        <v>46148</v>
      </c>
      <c r="D674" s="101">
        <v>46200</v>
      </c>
      <c r="E674" s="113">
        <v>4269</v>
      </c>
      <c r="F674" s="98" t="s">
        <v>495</v>
      </c>
      <c r="G674" s="99" t="s">
        <v>144</v>
      </c>
      <c r="H674" s="100" t="s">
        <v>217</v>
      </c>
      <c r="I674" s="104" t="s">
        <v>214</v>
      </c>
      <c r="J674" s="102" t="s">
        <v>146</v>
      </c>
      <c r="K674" s="103">
        <v>14</v>
      </c>
      <c r="L674" s="104" t="s">
        <v>100</v>
      </c>
      <c r="M674" s="104" t="s">
        <v>147</v>
      </c>
      <c r="N674" s="104" t="s">
        <v>211</v>
      </c>
      <c r="O674" s="110">
        <v>1240</v>
      </c>
      <c r="P674" s="110">
        <v>1305</v>
      </c>
      <c r="Q674" s="114" t="s">
        <v>458</v>
      </c>
    </row>
    <row r="675" spans="1:17">
      <c r="A675" s="97">
        <v>674</v>
      </c>
      <c r="B675" s="101" t="s">
        <v>182</v>
      </c>
      <c r="C675" s="101">
        <v>46148</v>
      </c>
      <c r="D675" s="101">
        <v>46200</v>
      </c>
      <c r="E675" s="113">
        <v>4268</v>
      </c>
      <c r="F675" s="98" t="s">
        <v>493</v>
      </c>
      <c r="G675" s="99" t="s">
        <v>144</v>
      </c>
      <c r="H675" s="100" t="s">
        <v>494</v>
      </c>
      <c r="I675" s="104" t="s">
        <v>292</v>
      </c>
      <c r="J675" s="102" t="s">
        <v>146</v>
      </c>
      <c r="K675" s="103">
        <v>14</v>
      </c>
      <c r="L675" s="104" t="s">
        <v>100</v>
      </c>
      <c r="M675" s="104" t="s">
        <v>147</v>
      </c>
      <c r="N675" s="104" t="s">
        <v>211</v>
      </c>
      <c r="O675" s="110">
        <v>1240</v>
      </c>
      <c r="P675" s="110">
        <v>1305</v>
      </c>
      <c r="Q675" s="114" t="s">
        <v>458</v>
      </c>
    </row>
    <row r="676" spans="1:17">
      <c r="A676" s="97">
        <v>675</v>
      </c>
      <c r="B676" s="101" t="s">
        <v>182</v>
      </c>
      <c r="C676" s="101">
        <v>46148</v>
      </c>
      <c r="D676" s="101">
        <v>46200</v>
      </c>
      <c r="E676" s="113">
        <v>4267</v>
      </c>
      <c r="F676" s="98" t="s">
        <v>493</v>
      </c>
      <c r="G676" s="99" t="s">
        <v>144</v>
      </c>
      <c r="H676" s="100" t="s">
        <v>494</v>
      </c>
      <c r="I676" s="104" t="s">
        <v>292</v>
      </c>
      <c r="J676" s="102" t="s">
        <v>146</v>
      </c>
      <c r="K676" s="103">
        <v>14</v>
      </c>
      <c r="L676" s="104" t="s">
        <v>100</v>
      </c>
      <c r="M676" s="104" t="s">
        <v>147</v>
      </c>
      <c r="N676" s="104" t="s">
        <v>211</v>
      </c>
      <c r="O676" s="110">
        <v>1240</v>
      </c>
      <c r="P676" s="110">
        <v>1305</v>
      </c>
      <c r="Q676" s="114" t="s">
        <v>458</v>
      </c>
    </row>
    <row r="677" spans="1:17">
      <c r="A677" s="97">
        <v>676</v>
      </c>
      <c r="B677" s="101" t="s">
        <v>182</v>
      </c>
      <c r="C677" s="101">
        <v>46148</v>
      </c>
      <c r="D677" s="101">
        <v>46200</v>
      </c>
      <c r="E677" s="113">
        <v>4255</v>
      </c>
      <c r="F677" s="98" t="s">
        <v>221</v>
      </c>
      <c r="G677" s="99" t="s">
        <v>144</v>
      </c>
      <c r="H677" s="100" t="s">
        <v>196</v>
      </c>
      <c r="I677" s="104" t="s">
        <v>203</v>
      </c>
      <c r="J677" s="102" t="s">
        <v>146</v>
      </c>
      <c r="K677" s="103">
        <v>7</v>
      </c>
      <c r="L677" s="104" t="s">
        <v>100</v>
      </c>
      <c r="M677" s="104" t="s">
        <v>147</v>
      </c>
      <c r="N677" s="104" t="s">
        <v>211</v>
      </c>
      <c r="O677" s="110">
        <v>1240</v>
      </c>
      <c r="P677" s="110">
        <v>1305</v>
      </c>
      <c r="Q677" s="114" t="s">
        <v>458</v>
      </c>
    </row>
    <row r="678" spans="1:17">
      <c r="A678" s="97">
        <v>677</v>
      </c>
      <c r="B678" s="101" t="s">
        <v>507</v>
      </c>
      <c r="C678" s="101">
        <v>46198</v>
      </c>
      <c r="D678" s="117">
        <v>46200</v>
      </c>
      <c r="E678" s="106">
        <v>9610</v>
      </c>
      <c r="F678" s="98" t="s">
        <v>189</v>
      </c>
      <c r="G678" s="99" t="s">
        <v>144</v>
      </c>
      <c r="H678" s="105">
        <v>33</v>
      </c>
      <c r="I678" s="107" t="s">
        <v>194</v>
      </c>
      <c r="J678" s="102" t="s">
        <v>180</v>
      </c>
      <c r="K678" s="103">
        <v>30</v>
      </c>
      <c r="L678" s="104" t="s">
        <v>100</v>
      </c>
      <c r="M678" s="104" t="s">
        <v>139</v>
      </c>
      <c r="N678" s="104"/>
      <c r="O678" s="109"/>
      <c r="P678" s="109"/>
      <c r="Q678" s="114" t="s">
        <v>458</v>
      </c>
    </row>
    <row r="679" spans="1:17">
      <c r="A679" s="97">
        <v>678</v>
      </c>
      <c r="B679" s="101" t="s">
        <v>507</v>
      </c>
      <c r="C679" s="101">
        <v>46198</v>
      </c>
      <c r="D679" s="117">
        <v>46200</v>
      </c>
      <c r="E679" s="106">
        <v>9611</v>
      </c>
      <c r="F679" s="98" t="s">
        <v>512</v>
      </c>
      <c r="G679" s="99" t="s">
        <v>101</v>
      </c>
      <c r="H679" s="105" t="s">
        <v>504</v>
      </c>
      <c r="I679" s="107" t="s">
        <v>316</v>
      </c>
      <c r="J679" s="102" t="s">
        <v>180</v>
      </c>
      <c r="K679" s="103">
        <v>30</v>
      </c>
      <c r="L679" s="104" t="s">
        <v>100</v>
      </c>
      <c r="M679" s="104" t="s">
        <v>139</v>
      </c>
      <c r="N679" s="104"/>
      <c r="O679" s="109"/>
      <c r="P679" s="109"/>
      <c r="Q679" s="114" t="s">
        <v>458</v>
      </c>
    </row>
    <row r="680" spans="1:17">
      <c r="A680" s="97">
        <v>679</v>
      </c>
      <c r="B680" s="101" t="s">
        <v>507</v>
      </c>
      <c r="C680" s="101">
        <v>46198</v>
      </c>
      <c r="D680" s="117">
        <v>46200</v>
      </c>
      <c r="E680" s="106">
        <v>9609</v>
      </c>
      <c r="F680" s="98" t="s">
        <v>164</v>
      </c>
      <c r="G680" s="99" t="s">
        <v>144</v>
      </c>
      <c r="H680" s="105">
        <v>12</v>
      </c>
      <c r="I680" s="107" t="s">
        <v>281</v>
      </c>
      <c r="J680" s="102" t="s">
        <v>180</v>
      </c>
      <c r="K680" s="103">
        <v>30</v>
      </c>
      <c r="L680" s="104" t="s">
        <v>100</v>
      </c>
      <c r="M680" s="104" t="s">
        <v>139</v>
      </c>
      <c r="N680" s="104"/>
      <c r="O680" s="109"/>
      <c r="P680" s="109"/>
      <c r="Q680" s="114" t="s">
        <v>458</v>
      </c>
    </row>
    <row r="681" spans="1:17">
      <c r="A681" s="97">
        <v>680</v>
      </c>
      <c r="B681" s="101" t="s">
        <v>507</v>
      </c>
      <c r="C681" s="101">
        <v>46198</v>
      </c>
      <c r="D681" s="117">
        <v>46200</v>
      </c>
      <c r="E681" s="106">
        <v>9613</v>
      </c>
      <c r="F681" s="98" t="s">
        <v>553</v>
      </c>
      <c r="G681" s="99" t="s">
        <v>144</v>
      </c>
      <c r="H681" s="105">
        <v>5</v>
      </c>
      <c r="I681" s="107" t="s">
        <v>172</v>
      </c>
      <c r="J681" s="102" t="s">
        <v>180</v>
      </c>
      <c r="K681" s="103">
        <v>30</v>
      </c>
      <c r="L681" s="104" t="s">
        <v>100</v>
      </c>
      <c r="M681" s="104" t="s">
        <v>139</v>
      </c>
      <c r="N681" s="104"/>
      <c r="O681" s="109"/>
      <c r="P681" s="109"/>
      <c r="Q681" s="114" t="s">
        <v>458</v>
      </c>
    </row>
    <row r="682" spans="1:17">
      <c r="A682" s="97">
        <v>681</v>
      </c>
      <c r="B682" s="101" t="s">
        <v>507</v>
      </c>
      <c r="C682" s="101">
        <v>46198</v>
      </c>
      <c r="D682" s="117">
        <v>46202</v>
      </c>
      <c r="E682" s="106">
        <v>9618</v>
      </c>
      <c r="F682" s="98" t="s">
        <v>554</v>
      </c>
      <c r="G682" s="99" t="s">
        <v>144</v>
      </c>
      <c r="H682" s="105">
        <v>2</v>
      </c>
      <c r="I682" s="107" t="s">
        <v>555</v>
      </c>
      <c r="J682" s="102" t="s">
        <v>180</v>
      </c>
      <c r="K682" s="103">
        <v>30</v>
      </c>
      <c r="L682" s="104" t="s">
        <v>100</v>
      </c>
      <c r="M682" s="104" t="s">
        <v>139</v>
      </c>
      <c r="N682" s="104"/>
      <c r="O682" s="109"/>
      <c r="P682" s="109"/>
      <c r="Q682" s="114" t="s">
        <v>458</v>
      </c>
    </row>
    <row r="683" spans="1:17">
      <c r="A683" s="97">
        <v>682</v>
      </c>
      <c r="B683" s="101" t="s">
        <v>507</v>
      </c>
      <c r="C683" s="101">
        <v>46198</v>
      </c>
      <c r="D683" s="117">
        <v>46202</v>
      </c>
      <c r="E683" s="106">
        <v>9617</v>
      </c>
      <c r="F683" s="98" t="s">
        <v>514</v>
      </c>
      <c r="G683" s="99" t="s">
        <v>101</v>
      </c>
      <c r="H683" s="105" t="s">
        <v>505</v>
      </c>
      <c r="I683" s="107" t="s">
        <v>556</v>
      </c>
      <c r="J683" s="102" t="s">
        <v>180</v>
      </c>
      <c r="K683" s="103">
        <v>30</v>
      </c>
      <c r="L683" s="104" t="s">
        <v>100</v>
      </c>
      <c r="M683" s="104" t="s">
        <v>139</v>
      </c>
      <c r="N683" s="104"/>
      <c r="O683" s="109"/>
      <c r="P683" s="109"/>
      <c r="Q683" s="114" t="s">
        <v>458</v>
      </c>
    </row>
    <row r="684" spans="1:17">
      <c r="A684" s="97">
        <v>683</v>
      </c>
      <c r="B684" s="101" t="s">
        <v>507</v>
      </c>
      <c r="C684" s="101">
        <v>46198</v>
      </c>
      <c r="D684" s="117">
        <v>46202</v>
      </c>
      <c r="E684" s="106">
        <v>9616</v>
      </c>
      <c r="F684" s="98" t="s">
        <v>164</v>
      </c>
      <c r="G684" s="99" t="s">
        <v>144</v>
      </c>
      <c r="H684" s="105">
        <v>12</v>
      </c>
      <c r="I684" s="107" t="s">
        <v>174</v>
      </c>
      <c r="J684" s="102" t="s">
        <v>180</v>
      </c>
      <c r="K684" s="103">
        <v>30</v>
      </c>
      <c r="L684" s="104" t="s">
        <v>100</v>
      </c>
      <c r="M684" s="104" t="s">
        <v>139</v>
      </c>
      <c r="N684" s="104"/>
      <c r="O684" s="109"/>
      <c r="P684" s="109"/>
      <c r="Q684" s="114" t="s">
        <v>458</v>
      </c>
    </row>
    <row r="685" spans="1:17">
      <c r="A685" s="97">
        <v>684</v>
      </c>
      <c r="B685" s="101" t="s">
        <v>507</v>
      </c>
      <c r="C685" s="101">
        <v>46198</v>
      </c>
      <c r="D685" s="117">
        <v>46202</v>
      </c>
      <c r="E685" s="106">
        <v>9615</v>
      </c>
      <c r="F685" s="98" t="s">
        <v>512</v>
      </c>
      <c r="G685" s="99" t="s">
        <v>101</v>
      </c>
      <c r="H685" s="105" t="s">
        <v>504</v>
      </c>
      <c r="I685" s="107" t="s">
        <v>557</v>
      </c>
      <c r="J685" s="102" t="s">
        <v>180</v>
      </c>
      <c r="K685" s="103">
        <v>30</v>
      </c>
      <c r="L685" s="104" t="s">
        <v>100</v>
      </c>
      <c r="M685" s="104" t="s">
        <v>139</v>
      </c>
      <c r="N685" s="104"/>
      <c r="O685" s="109"/>
      <c r="P685" s="109"/>
      <c r="Q685" s="114" t="s">
        <v>458</v>
      </c>
    </row>
    <row r="686" spans="1:17">
      <c r="A686" s="97">
        <v>685</v>
      </c>
      <c r="B686" s="101" t="s">
        <v>507</v>
      </c>
      <c r="C686" s="101">
        <v>46198</v>
      </c>
      <c r="D686" s="117">
        <v>46202</v>
      </c>
      <c r="E686" s="106">
        <v>9614</v>
      </c>
      <c r="F686" s="98" t="s">
        <v>189</v>
      </c>
      <c r="G686" s="99" t="s">
        <v>144</v>
      </c>
      <c r="H686" s="105">
        <v>33</v>
      </c>
      <c r="I686" s="107" t="s">
        <v>173</v>
      </c>
      <c r="J686" s="102" t="s">
        <v>180</v>
      </c>
      <c r="K686" s="103">
        <v>30</v>
      </c>
      <c r="L686" s="104" t="s">
        <v>100</v>
      </c>
      <c r="M686" s="104" t="s">
        <v>139</v>
      </c>
      <c r="N686" s="104"/>
      <c r="O686" s="109"/>
      <c r="P686" s="109"/>
      <c r="Q686" s="114" t="s">
        <v>458</v>
      </c>
    </row>
    <row r="687" spans="1:17">
      <c r="A687" s="97">
        <v>686</v>
      </c>
      <c r="B687" s="101" t="s">
        <v>507</v>
      </c>
      <c r="C687" s="101">
        <v>46198</v>
      </c>
      <c r="D687" s="117">
        <v>46202</v>
      </c>
      <c r="E687" s="106">
        <v>9612</v>
      </c>
      <c r="F687" s="98" t="s">
        <v>554</v>
      </c>
      <c r="G687" s="99" t="s">
        <v>144</v>
      </c>
      <c r="H687" s="105">
        <v>2</v>
      </c>
      <c r="I687" s="107" t="s">
        <v>555</v>
      </c>
      <c r="J687" s="102" t="s">
        <v>180</v>
      </c>
      <c r="K687" s="103">
        <v>30</v>
      </c>
      <c r="L687" s="104" t="s">
        <v>100</v>
      </c>
      <c r="M687" s="104" t="s">
        <v>139</v>
      </c>
      <c r="N687" s="104"/>
      <c r="O687" s="109"/>
      <c r="P687" s="109"/>
      <c r="Q687" s="114" t="s">
        <v>458</v>
      </c>
    </row>
    <row r="688" spans="1:17">
      <c r="A688" s="97">
        <v>687</v>
      </c>
      <c r="B688" s="101" t="s">
        <v>507</v>
      </c>
      <c r="C688" s="101">
        <v>46198</v>
      </c>
      <c r="D688" s="117">
        <v>46202</v>
      </c>
      <c r="E688" s="106">
        <v>9619</v>
      </c>
      <c r="F688" s="98" t="s">
        <v>162</v>
      </c>
      <c r="G688" s="99" t="s">
        <v>144</v>
      </c>
      <c r="H688" s="105">
        <v>5</v>
      </c>
      <c r="I688" s="107" t="s">
        <v>172</v>
      </c>
      <c r="J688" s="102" t="s">
        <v>180</v>
      </c>
      <c r="K688" s="103">
        <v>30</v>
      </c>
      <c r="L688" s="104" t="s">
        <v>100</v>
      </c>
      <c r="M688" s="104" t="s">
        <v>139</v>
      </c>
      <c r="N688" s="104"/>
      <c r="O688" s="109"/>
      <c r="P688" s="109"/>
      <c r="Q688" s="114" t="s">
        <v>458</v>
      </c>
    </row>
    <row r="689" spans="1:17" s="158" customFormat="1">
      <c r="A689" s="97">
        <v>688</v>
      </c>
      <c r="B689" s="150" t="s">
        <v>182</v>
      </c>
      <c r="C689" s="150">
        <v>46148</v>
      </c>
      <c r="D689" s="117">
        <v>46202</v>
      </c>
      <c r="E689" s="149">
        <v>4287</v>
      </c>
      <c r="F689" s="149" t="s">
        <v>228</v>
      </c>
      <c r="G689" s="151" t="s">
        <v>144</v>
      </c>
      <c r="H689" s="152" t="s">
        <v>558</v>
      </c>
      <c r="I689" s="153" t="s">
        <v>369</v>
      </c>
      <c r="J689" s="154" t="s">
        <v>146</v>
      </c>
      <c r="K689" s="155">
        <v>14</v>
      </c>
      <c r="L689" s="153" t="s">
        <v>100</v>
      </c>
      <c r="M689" s="153" t="s">
        <v>147</v>
      </c>
      <c r="N689" s="153" t="s">
        <v>211</v>
      </c>
      <c r="O689" s="156">
        <v>1305</v>
      </c>
      <c r="P689" s="156">
        <v>1435</v>
      </c>
      <c r="Q689" s="157" t="s">
        <v>458</v>
      </c>
    </row>
    <row r="690" spans="1:17" s="158" customFormat="1">
      <c r="A690" s="97">
        <v>689</v>
      </c>
      <c r="B690" s="150" t="s">
        <v>182</v>
      </c>
      <c r="C690" s="150">
        <v>46148</v>
      </c>
      <c r="D690" s="117">
        <v>46202</v>
      </c>
      <c r="E690" s="149">
        <v>4286</v>
      </c>
      <c r="F690" s="149" t="s">
        <v>228</v>
      </c>
      <c r="G690" s="151" t="s">
        <v>144</v>
      </c>
      <c r="H690" s="152" t="s">
        <v>202</v>
      </c>
      <c r="I690" s="153" t="s">
        <v>369</v>
      </c>
      <c r="J690" s="154" t="s">
        <v>146</v>
      </c>
      <c r="K690" s="155">
        <v>14</v>
      </c>
      <c r="L690" s="153" t="s">
        <v>100</v>
      </c>
      <c r="M690" s="153" t="s">
        <v>147</v>
      </c>
      <c r="N690" s="153" t="s">
        <v>211</v>
      </c>
      <c r="O690" s="156">
        <v>1305</v>
      </c>
      <c r="P690" s="156">
        <v>1435</v>
      </c>
      <c r="Q690" s="157" t="s">
        <v>458</v>
      </c>
    </row>
    <row r="691" spans="1:17" s="158" customFormat="1">
      <c r="A691" s="97">
        <v>690</v>
      </c>
      <c r="B691" s="150" t="s">
        <v>182</v>
      </c>
      <c r="C691" s="150">
        <v>46148</v>
      </c>
      <c r="D691" s="117">
        <v>46202</v>
      </c>
      <c r="E691" s="149">
        <v>4279</v>
      </c>
      <c r="F691" s="149" t="s">
        <v>474</v>
      </c>
      <c r="G691" s="151" t="s">
        <v>144</v>
      </c>
      <c r="H691" s="152" t="s">
        <v>464</v>
      </c>
      <c r="I691" s="153" t="s">
        <v>466</v>
      </c>
      <c r="J691" s="154" t="s">
        <v>146</v>
      </c>
      <c r="K691" s="155">
        <v>14</v>
      </c>
      <c r="L691" s="153" t="s">
        <v>100</v>
      </c>
      <c r="M691" s="153" t="s">
        <v>147</v>
      </c>
      <c r="N691" s="153" t="s">
        <v>211</v>
      </c>
      <c r="O691" s="156">
        <v>1305</v>
      </c>
      <c r="P691" s="156">
        <v>1435</v>
      </c>
      <c r="Q691" s="157" t="s">
        <v>458</v>
      </c>
    </row>
    <row r="692" spans="1:17" s="158" customFormat="1">
      <c r="A692" s="97">
        <v>691</v>
      </c>
      <c r="B692" s="150" t="s">
        <v>182</v>
      </c>
      <c r="C692" s="150">
        <v>46148</v>
      </c>
      <c r="D692" s="117">
        <v>46202</v>
      </c>
      <c r="E692" s="149">
        <v>4278</v>
      </c>
      <c r="F692" s="149" t="s">
        <v>474</v>
      </c>
      <c r="G692" s="151" t="s">
        <v>144</v>
      </c>
      <c r="H692" s="152" t="s">
        <v>464</v>
      </c>
      <c r="I692" s="153" t="s">
        <v>466</v>
      </c>
      <c r="J692" s="154" t="s">
        <v>146</v>
      </c>
      <c r="K692" s="155">
        <v>14</v>
      </c>
      <c r="L692" s="153" t="s">
        <v>100</v>
      </c>
      <c r="M692" s="153" t="s">
        <v>147</v>
      </c>
      <c r="N692" s="153" t="s">
        <v>211</v>
      </c>
      <c r="O692" s="156">
        <v>1305</v>
      </c>
      <c r="P692" s="156">
        <v>1435</v>
      </c>
      <c r="Q692" s="157" t="s">
        <v>458</v>
      </c>
    </row>
    <row r="693" spans="1:17" s="158" customFormat="1">
      <c r="A693" s="97">
        <v>692</v>
      </c>
      <c r="B693" s="150" t="s">
        <v>182</v>
      </c>
      <c r="C693" s="150">
        <v>46148</v>
      </c>
      <c r="D693" s="117">
        <v>46202</v>
      </c>
      <c r="E693" s="149">
        <v>4277</v>
      </c>
      <c r="F693" s="149" t="s">
        <v>367</v>
      </c>
      <c r="G693" s="151" t="s">
        <v>144</v>
      </c>
      <c r="H693" s="152" t="s">
        <v>217</v>
      </c>
      <c r="I693" s="153" t="s">
        <v>214</v>
      </c>
      <c r="J693" s="154" t="s">
        <v>146</v>
      </c>
      <c r="K693" s="155">
        <v>14</v>
      </c>
      <c r="L693" s="153" t="s">
        <v>100</v>
      </c>
      <c r="M693" s="153" t="s">
        <v>147</v>
      </c>
      <c r="N693" s="153" t="s">
        <v>211</v>
      </c>
      <c r="O693" s="156">
        <v>1305</v>
      </c>
      <c r="P693" s="156">
        <v>1435</v>
      </c>
      <c r="Q693" s="157" t="s">
        <v>458</v>
      </c>
    </row>
    <row r="694" spans="1:17" s="158" customFormat="1">
      <c r="A694" s="97">
        <v>693</v>
      </c>
      <c r="B694" s="150" t="s">
        <v>182</v>
      </c>
      <c r="C694" s="150">
        <v>46148</v>
      </c>
      <c r="D694" s="117">
        <v>46202</v>
      </c>
      <c r="E694" s="149">
        <v>4276</v>
      </c>
      <c r="F694" s="149" t="s">
        <v>362</v>
      </c>
      <c r="G694" s="151" t="s">
        <v>144</v>
      </c>
      <c r="H694" s="152" t="s">
        <v>260</v>
      </c>
      <c r="I694" s="153" t="s">
        <v>265</v>
      </c>
      <c r="J694" s="154" t="s">
        <v>146</v>
      </c>
      <c r="K694" s="155">
        <v>14</v>
      </c>
      <c r="L694" s="153" t="s">
        <v>100</v>
      </c>
      <c r="M694" s="153" t="s">
        <v>147</v>
      </c>
      <c r="N694" s="153" t="s">
        <v>211</v>
      </c>
      <c r="O694" s="156">
        <v>1305</v>
      </c>
      <c r="P694" s="156">
        <v>1435</v>
      </c>
      <c r="Q694" s="157" t="s">
        <v>458</v>
      </c>
    </row>
    <row r="695" spans="1:17" s="158" customFormat="1">
      <c r="A695" s="97">
        <v>694</v>
      </c>
      <c r="B695" s="150" t="s">
        <v>182</v>
      </c>
      <c r="C695" s="150">
        <v>46148</v>
      </c>
      <c r="D695" s="117">
        <v>46202</v>
      </c>
      <c r="E695" s="149">
        <v>4275</v>
      </c>
      <c r="F695" s="149" t="s">
        <v>362</v>
      </c>
      <c r="G695" s="151" t="s">
        <v>144</v>
      </c>
      <c r="H695" s="152" t="s">
        <v>260</v>
      </c>
      <c r="I695" s="153" t="s">
        <v>265</v>
      </c>
      <c r="J695" s="154" t="s">
        <v>146</v>
      </c>
      <c r="K695" s="155">
        <v>14</v>
      </c>
      <c r="L695" s="153" t="s">
        <v>100</v>
      </c>
      <c r="M695" s="153" t="s">
        <v>147</v>
      </c>
      <c r="N695" s="153" t="s">
        <v>211</v>
      </c>
      <c r="O695" s="156">
        <v>1305</v>
      </c>
      <c r="P695" s="156">
        <v>1435</v>
      </c>
      <c r="Q695" s="157" t="s">
        <v>458</v>
      </c>
    </row>
    <row r="696" spans="1:17" s="158" customFormat="1">
      <c r="A696" s="97">
        <v>695</v>
      </c>
      <c r="B696" s="150" t="s">
        <v>182</v>
      </c>
      <c r="C696" s="150">
        <v>46148</v>
      </c>
      <c r="D696" s="117">
        <v>46202</v>
      </c>
      <c r="E696" s="149">
        <v>4274</v>
      </c>
      <c r="F696" s="149" t="s">
        <v>244</v>
      </c>
      <c r="G696" s="151" t="s">
        <v>144</v>
      </c>
      <c r="H696" s="152" t="s">
        <v>248</v>
      </c>
      <c r="I696" s="153" t="s">
        <v>267</v>
      </c>
      <c r="J696" s="154" t="s">
        <v>146</v>
      </c>
      <c r="K696" s="155">
        <v>14</v>
      </c>
      <c r="L696" s="153" t="s">
        <v>100</v>
      </c>
      <c r="M696" s="153" t="s">
        <v>147</v>
      </c>
      <c r="N696" s="153" t="s">
        <v>211</v>
      </c>
      <c r="O696" s="156">
        <v>1305</v>
      </c>
      <c r="P696" s="156">
        <v>1435</v>
      </c>
      <c r="Q696" s="157" t="s">
        <v>458</v>
      </c>
    </row>
    <row r="697" spans="1:17" s="158" customFormat="1">
      <c r="A697" s="97">
        <v>696</v>
      </c>
      <c r="B697" s="150" t="s">
        <v>182</v>
      </c>
      <c r="C697" s="150">
        <v>46148</v>
      </c>
      <c r="D697" s="117">
        <v>46202</v>
      </c>
      <c r="E697" s="149">
        <v>4273</v>
      </c>
      <c r="F697" s="149" t="s">
        <v>244</v>
      </c>
      <c r="G697" s="151" t="s">
        <v>144</v>
      </c>
      <c r="H697" s="152" t="s">
        <v>248</v>
      </c>
      <c r="I697" s="153" t="s">
        <v>267</v>
      </c>
      <c r="J697" s="154" t="s">
        <v>146</v>
      </c>
      <c r="K697" s="155">
        <v>14</v>
      </c>
      <c r="L697" s="153" t="s">
        <v>100</v>
      </c>
      <c r="M697" s="153" t="s">
        <v>147</v>
      </c>
      <c r="N697" s="153" t="s">
        <v>211</v>
      </c>
      <c r="O697" s="156">
        <v>1305</v>
      </c>
      <c r="P697" s="156">
        <v>1435</v>
      </c>
      <c r="Q697" s="157" t="s">
        <v>458</v>
      </c>
    </row>
    <row r="781" spans="9:11">
      <c r="K781" s="116">
        <f>SUBTOTAL(109,K2:K698)</f>
        <v>11792</v>
      </c>
    </row>
    <row r="783" spans="9:11">
      <c r="I783" s="96" t="s">
        <v>110</v>
      </c>
      <c r="J783" s="96" t="s">
        <v>184</v>
      </c>
      <c r="K783" s="96">
        <v>131</v>
      </c>
    </row>
    <row r="784" spans="9:11">
      <c r="I784" s="96" t="s">
        <v>110</v>
      </c>
      <c r="J784" s="96" t="s">
        <v>513</v>
      </c>
      <c r="K784" s="96">
        <v>40</v>
      </c>
    </row>
    <row r="786" spans="9:12">
      <c r="I786" s="96" t="s">
        <v>100</v>
      </c>
      <c r="J786" s="96" t="s">
        <v>498</v>
      </c>
      <c r="K786" s="96">
        <v>27</v>
      </c>
    </row>
    <row r="787" spans="9:12">
      <c r="I787" s="96" t="s">
        <v>100</v>
      </c>
      <c r="J787" s="96" t="s">
        <v>498</v>
      </c>
      <c r="K787" s="96">
        <v>10</v>
      </c>
    </row>
    <row r="788" spans="9:12">
      <c r="I788" s="96" t="s">
        <v>100</v>
      </c>
      <c r="J788" s="96" t="s">
        <v>507</v>
      </c>
      <c r="K788" s="96">
        <v>15</v>
      </c>
      <c r="L788" s="148">
        <v>46198</v>
      </c>
    </row>
  </sheetData>
  <autoFilter ref="A1:Q681" xr:uid="{232E57EE-8A5C-45F8-B30D-C0F17E24F801}"/>
  <phoneticPr fontId="47" type="noConversion"/>
  <pageMargins left="0.39370078740157483" right="0.39370078740157483" top="0.39370078740157483" bottom="0.39370078740157483" header="0.31496062992125984" footer="0.31496062992125984"/>
  <pageSetup scale="26" orientation="landscape" r:id="rId1"/>
  <ignoredErrors>
    <ignoredError sqref="E2:E15 E87:E89 E74:E82 E49:E62 E65:E73 E83:E84 E92:E99 E104:E139 E221 E227 E224 E245 H60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J435"/>
  <sheetViews>
    <sheetView topLeftCell="A83" zoomScale="89" workbookViewId="0">
      <selection activeCell="I64" sqref="I64"/>
    </sheetView>
  </sheetViews>
  <sheetFormatPr baseColWidth="10" defaultRowHeight="15"/>
  <cols>
    <col min="1" max="1" width="3.42578125" customWidth="1"/>
    <col min="2" max="2" width="25.140625" bestFit="1" customWidth="1"/>
    <col min="3" max="3" width="7.42578125" bestFit="1" customWidth="1"/>
    <col min="4" max="4" width="6.28515625" bestFit="1" customWidth="1"/>
    <col min="5" max="5" width="6.7109375" bestFit="1" customWidth="1"/>
    <col min="6" max="6" width="0" hidden="1" customWidth="1"/>
    <col min="9" max="9" width="9.42578125" bestFit="1" customWidth="1"/>
    <col min="10" max="10" width="6.7109375" bestFit="1" customWidth="1"/>
    <col min="11" max="11" width="9.140625" bestFit="1" customWidth="1"/>
    <col min="12" max="12" width="8.140625" bestFit="1" customWidth="1"/>
    <col min="13" max="13" width="11.140625" bestFit="1" customWidth="1"/>
    <col min="14" max="22" width="11.42578125" hidden="1" customWidth="1"/>
    <col min="23" max="23" width="11.42578125" customWidth="1"/>
    <col min="24" max="26" width="11.42578125" hidden="1" customWidth="1"/>
    <col min="27" max="27" width="13.42578125" hidden="1" customWidth="1"/>
    <col min="28" max="30" width="11.42578125" hidden="1" customWidth="1"/>
    <col min="31" max="31" width="13.85546875" customWidth="1"/>
    <col min="32" max="32" width="50" customWidth="1"/>
  </cols>
  <sheetData>
    <row r="2" spans="2:36" ht="15.75" thickBot="1">
      <c r="B2" s="135" t="s">
        <v>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</row>
    <row r="3" spans="2:36" ht="33.75" customHeight="1"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6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32</v>
      </c>
      <c r="AB3" s="7" t="s">
        <v>27</v>
      </c>
      <c r="AC3" s="7" t="s">
        <v>28</v>
      </c>
      <c r="AD3" s="7" t="s">
        <v>29</v>
      </c>
      <c r="AE3" s="8" t="s">
        <v>30</v>
      </c>
      <c r="AF3" s="9" t="s">
        <v>31</v>
      </c>
    </row>
    <row r="4" spans="2:36" ht="16.5">
      <c r="B4" s="12">
        <v>43626</v>
      </c>
      <c r="C4" s="11" t="s">
        <v>47</v>
      </c>
      <c r="D4" s="11">
        <v>4</v>
      </c>
      <c r="E4" s="11" t="s">
        <v>48</v>
      </c>
      <c r="F4" s="11"/>
      <c r="G4" s="10">
        <v>129211</v>
      </c>
      <c r="H4" s="10">
        <v>129221.9</v>
      </c>
      <c r="I4" s="11">
        <f t="shared" ref="I4:I14" si="0">H4-G4</f>
        <v>10.899999999994179</v>
      </c>
      <c r="J4" s="31">
        <v>3.5</v>
      </c>
      <c r="K4" s="11">
        <f t="shared" ref="K4:K14" si="1">J4*I4</f>
        <v>38.149999999979627</v>
      </c>
      <c r="L4" s="13">
        <v>0.1</v>
      </c>
      <c r="M4" s="13">
        <f>L4*K4</f>
        <v>3.8149999999979629</v>
      </c>
      <c r="W4" s="136">
        <f>19950+24140+20150</f>
        <v>64240</v>
      </c>
      <c r="AE4" s="11" t="s">
        <v>50</v>
      </c>
      <c r="AF4" s="11"/>
    </row>
    <row r="5" spans="2:36" ht="16.5">
      <c r="B5" s="12">
        <v>43626</v>
      </c>
      <c r="C5" s="11" t="s">
        <v>47</v>
      </c>
      <c r="D5" s="11">
        <v>4</v>
      </c>
      <c r="E5" s="11" t="s">
        <v>48</v>
      </c>
      <c r="F5" s="11"/>
      <c r="G5" s="10">
        <v>129248.2</v>
      </c>
      <c r="H5" s="10">
        <v>129261.1</v>
      </c>
      <c r="I5" s="11">
        <f t="shared" si="0"/>
        <v>12.900000000008731</v>
      </c>
      <c r="J5" s="31">
        <v>3.5</v>
      </c>
      <c r="K5" s="11">
        <f t="shared" si="1"/>
        <v>45.150000000030559</v>
      </c>
      <c r="L5" s="13">
        <v>0.1</v>
      </c>
      <c r="M5" s="13">
        <f>L5*K5</f>
        <v>4.5150000000030559</v>
      </c>
      <c r="W5" s="137"/>
      <c r="AE5" s="11" t="s">
        <v>50</v>
      </c>
      <c r="AF5" s="11"/>
    </row>
    <row r="6" spans="2:36" ht="16.5">
      <c r="B6" s="12">
        <v>43626</v>
      </c>
      <c r="C6" s="11" t="s">
        <v>47</v>
      </c>
      <c r="D6" s="11">
        <v>4</v>
      </c>
      <c r="E6" s="11" t="s">
        <v>48</v>
      </c>
      <c r="F6" s="11"/>
      <c r="G6" s="10">
        <v>129328.7</v>
      </c>
      <c r="H6" s="10">
        <v>129336.7</v>
      </c>
      <c r="I6" s="11">
        <f t="shared" si="0"/>
        <v>8</v>
      </c>
      <c r="J6" s="31">
        <v>3.5</v>
      </c>
      <c r="K6" s="11">
        <f t="shared" si="1"/>
        <v>28</v>
      </c>
      <c r="L6" s="13">
        <v>0.1</v>
      </c>
      <c r="M6" s="13">
        <f>L6*K6</f>
        <v>2.8000000000000003</v>
      </c>
      <c r="W6" s="137"/>
      <c r="AE6" s="11" t="s">
        <v>50</v>
      </c>
      <c r="AF6" s="11"/>
    </row>
    <row r="7" spans="2:36" ht="16.5">
      <c r="B7" s="12">
        <v>43626</v>
      </c>
      <c r="C7" s="11" t="s">
        <v>47</v>
      </c>
      <c r="D7" s="11">
        <v>4</v>
      </c>
      <c r="E7" s="11" t="s">
        <v>48</v>
      </c>
      <c r="F7" s="11"/>
      <c r="G7" s="10">
        <v>129350.3</v>
      </c>
      <c r="H7" s="10">
        <v>129359.05</v>
      </c>
      <c r="I7" s="11">
        <f t="shared" si="0"/>
        <v>8.75</v>
      </c>
      <c r="J7" s="31">
        <v>3.5</v>
      </c>
      <c r="K7" s="11">
        <f t="shared" si="1"/>
        <v>30.625</v>
      </c>
      <c r="L7" s="13">
        <v>0.1</v>
      </c>
      <c r="M7" s="13">
        <f t="shared" ref="M7:M13" si="2">L7*K7</f>
        <v>3.0625</v>
      </c>
      <c r="W7" s="137"/>
      <c r="AE7" s="11" t="s">
        <v>50</v>
      </c>
      <c r="AF7" s="11"/>
    </row>
    <row r="8" spans="2:36" ht="16.5">
      <c r="B8" s="12">
        <v>43626</v>
      </c>
      <c r="C8" s="11" t="s">
        <v>47</v>
      </c>
      <c r="D8" s="11">
        <v>4</v>
      </c>
      <c r="E8" s="11" t="s">
        <v>48</v>
      </c>
      <c r="F8" s="11"/>
      <c r="G8" s="10">
        <v>129369.15</v>
      </c>
      <c r="H8" s="10">
        <v>129376.95</v>
      </c>
      <c r="I8" s="11">
        <f t="shared" si="0"/>
        <v>7.8000000000029104</v>
      </c>
      <c r="J8" s="31">
        <v>3.5</v>
      </c>
      <c r="K8" s="11">
        <f t="shared" si="1"/>
        <v>27.300000000010186</v>
      </c>
      <c r="L8" s="13">
        <v>0.1</v>
      </c>
      <c r="M8" s="13">
        <f t="shared" si="2"/>
        <v>2.7300000000010187</v>
      </c>
      <c r="W8" s="137"/>
      <c r="AE8" s="11" t="s">
        <v>50</v>
      </c>
      <c r="AF8" s="11"/>
    </row>
    <row r="9" spans="2:36" ht="16.5">
      <c r="B9" s="12">
        <v>43626</v>
      </c>
      <c r="C9" s="11" t="s">
        <v>47</v>
      </c>
      <c r="D9" s="11">
        <v>4</v>
      </c>
      <c r="E9" s="11" t="s">
        <v>48</v>
      </c>
      <c r="F9" s="11"/>
      <c r="G9" s="10">
        <v>129434.15</v>
      </c>
      <c r="H9" s="10">
        <v>129438.05</v>
      </c>
      <c r="I9" s="11">
        <f t="shared" si="0"/>
        <v>3.9000000000087311</v>
      </c>
      <c r="J9" s="31">
        <v>3.5</v>
      </c>
      <c r="K9" s="11">
        <f t="shared" si="1"/>
        <v>13.650000000030559</v>
      </c>
      <c r="L9" s="13">
        <v>0.1</v>
      </c>
      <c r="M9" s="13">
        <f t="shared" si="2"/>
        <v>1.365000000003056</v>
      </c>
      <c r="W9" s="137"/>
      <c r="AE9" s="11" t="s">
        <v>50</v>
      </c>
      <c r="AF9" s="11"/>
    </row>
    <row r="10" spans="2:36" ht="16.5">
      <c r="B10" s="12">
        <v>43626</v>
      </c>
      <c r="C10" s="11" t="s">
        <v>47</v>
      </c>
      <c r="D10" s="11">
        <v>4</v>
      </c>
      <c r="E10" s="11" t="s">
        <v>48</v>
      </c>
      <c r="F10" s="11"/>
      <c r="G10" s="10">
        <v>129450.25</v>
      </c>
      <c r="H10" s="10">
        <v>129455.7</v>
      </c>
      <c r="I10" s="11">
        <f t="shared" si="0"/>
        <v>5.4499999999970896</v>
      </c>
      <c r="J10" s="31">
        <v>3.5</v>
      </c>
      <c r="K10" s="11">
        <f t="shared" si="1"/>
        <v>19.074999999989814</v>
      </c>
      <c r="L10" s="13">
        <v>0.1</v>
      </c>
      <c r="M10" s="13">
        <f t="shared" si="2"/>
        <v>1.9074999999989815</v>
      </c>
      <c r="W10" s="137"/>
      <c r="AE10" s="11" t="s">
        <v>50</v>
      </c>
      <c r="AF10" s="11"/>
    </row>
    <row r="11" spans="2:36" ht="16.5">
      <c r="B11" s="12">
        <v>43626</v>
      </c>
      <c r="C11" s="11" t="s">
        <v>47</v>
      </c>
      <c r="D11" s="11">
        <v>4</v>
      </c>
      <c r="E11" s="11" t="s">
        <v>48</v>
      </c>
      <c r="F11" s="11"/>
      <c r="G11" s="10">
        <v>129469.1</v>
      </c>
      <c r="H11" s="10">
        <v>129472.5</v>
      </c>
      <c r="I11" s="11">
        <f t="shared" si="0"/>
        <v>3.3999999999941792</v>
      </c>
      <c r="J11" s="31">
        <v>3.5</v>
      </c>
      <c r="K11" s="11">
        <f t="shared" si="1"/>
        <v>11.899999999979627</v>
      </c>
      <c r="L11" s="13">
        <v>0.1</v>
      </c>
      <c r="M11" s="13">
        <f t="shared" si="2"/>
        <v>1.1899999999979627</v>
      </c>
      <c r="W11" s="137"/>
      <c r="AE11" s="11" t="s">
        <v>50</v>
      </c>
      <c r="AF11" s="11"/>
      <c r="AI11">
        <v>199180</v>
      </c>
      <c r="AJ11">
        <f>AI11-W4</f>
        <v>134940</v>
      </c>
    </row>
    <row r="12" spans="2:36" ht="16.5">
      <c r="B12" s="12">
        <v>43626</v>
      </c>
      <c r="C12" s="11" t="s">
        <v>47</v>
      </c>
      <c r="D12" s="11">
        <v>4</v>
      </c>
      <c r="E12" s="11" t="s">
        <v>48</v>
      </c>
      <c r="F12" s="11"/>
      <c r="G12" s="10">
        <v>129522.5</v>
      </c>
      <c r="H12" s="10">
        <v>129530</v>
      </c>
      <c r="I12" s="11">
        <f t="shared" si="0"/>
        <v>7.5</v>
      </c>
      <c r="J12" s="31">
        <v>3.5</v>
      </c>
      <c r="K12" s="11">
        <f t="shared" si="1"/>
        <v>26.25</v>
      </c>
      <c r="L12" s="13">
        <v>0.1</v>
      </c>
      <c r="M12" s="13">
        <f t="shared" si="2"/>
        <v>2.625</v>
      </c>
      <c r="W12" s="137"/>
      <c r="AE12" s="11" t="s">
        <v>50</v>
      </c>
      <c r="AF12" s="11"/>
    </row>
    <row r="13" spans="2:36" ht="16.5">
      <c r="B13" s="12">
        <v>43626</v>
      </c>
      <c r="C13" s="11" t="s">
        <v>47</v>
      </c>
      <c r="D13" s="11">
        <v>4</v>
      </c>
      <c r="E13" s="11" t="s">
        <v>48</v>
      </c>
      <c r="F13" s="11"/>
      <c r="G13" s="10">
        <v>129559.7</v>
      </c>
      <c r="H13" s="10">
        <v>129564.4</v>
      </c>
      <c r="I13" s="11">
        <f t="shared" si="0"/>
        <v>4.6999999999970896</v>
      </c>
      <c r="J13" s="31">
        <v>3.5</v>
      </c>
      <c r="K13" s="11">
        <f t="shared" si="1"/>
        <v>16.449999999989814</v>
      </c>
      <c r="L13" s="13">
        <v>0.1</v>
      </c>
      <c r="M13" s="13">
        <f t="shared" si="2"/>
        <v>1.6449999999989815</v>
      </c>
      <c r="W13" s="137"/>
      <c r="AE13" s="11" t="s">
        <v>50</v>
      </c>
      <c r="AF13" s="11"/>
    </row>
    <row r="14" spans="2:36" ht="16.5">
      <c r="B14" s="12">
        <v>43626</v>
      </c>
      <c r="C14" s="11" t="s">
        <v>47</v>
      </c>
      <c r="D14" s="11">
        <v>4</v>
      </c>
      <c r="E14" s="11" t="s">
        <v>48</v>
      </c>
      <c r="F14" s="11"/>
      <c r="G14" s="10">
        <v>129231.9</v>
      </c>
      <c r="H14" s="10">
        <v>129234.5</v>
      </c>
      <c r="I14" s="11">
        <f t="shared" si="0"/>
        <v>2.6000000000058208</v>
      </c>
      <c r="J14" s="31">
        <v>2.2000000000000002</v>
      </c>
      <c r="K14" s="11">
        <f t="shared" si="1"/>
        <v>5.7200000000128064</v>
      </c>
      <c r="L14" s="13">
        <v>0.1</v>
      </c>
      <c r="M14" s="13">
        <f t="shared" ref="M14" si="3">L14*K14</f>
        <v>0.57200000000128071</v>
      </c>
      <c r="W14" s="138"/>
      <c r="AE14" s="11" t="s">
        <v>50</v>
      </c>
      <c r="AF14" s="11"/>
    </row>
    <row r="15" spans="2:36" ht="16.5">
      <c r="B15" s="12">
        <v>43627</v>
      </c>
      <c r="C15" s="88" t="s">
        <v>47</v>
      </c>
      <c r="D15" s="88">
        <v>12</v>
      </c>
      <c r="E15" s="88">
        <v>4</v>
      </c>
      <c r="F15" s="88" t="s">
        <v>48</v>
      </c>
      <c r="G15" s="10">
        <v>130669.45</v>
      </c>
      <c r="H15" s="10">
        <v>130688.5</v>
      </c>
      <c r="I15" s="90">
        <v>19.05</v>
      </c>
      <c r="J15" s="89">
        <v>3.5</v>
      </c>
      <c r="K15" s="88">
        <v>66.674999999999997</v>
      </c>
      <c r="L15" s="89">
        <v>0.1</v>
      </c>
      <c r="M15" s="89">
        <v>6.6675000000000004</v>
      </c>
      <c r="W15" s="139">
        <v>23.89</v>
      </c>
      <c r="AE15" s="88" t="s">
        <v>50</v>
      </c>
      <c r="AF15" s="11"/>
    </row>
    <row r="16" spans="2:36" ht="16.5">
      <c r="B16" s="12">
        <v>43627</v>
      </c>
      <c r="C16" s="88" t="s">
        <v>47</v>
      </c>
      <c r="D16" s="88">
        <v>13</v>
      </c>
      <c r="E16" s="88">
        <v>4</v>
      </c>
      <c r="F16" s="88" t="s">
        <v>48</v>
      </c>
      <c r="G16" s="10">
        <v>133273</v>
      </c>
      <c r="H16" s="10">
        <v>133277</v>
      </c>
      <c r="I16" s="90">
        <v>4</v>
      </c>
      <c r="J16" s="89">
        <v>3.5</v>
      </c>
      <c r="K16" s="88">
        <v>14</v>
      </c>
      <c r="L16" s="89">
        <v>0.1</v>
      </c>
      <c r="M16" s="89">
        <v>1.4000000000000001</v>
      </c>
      <c r="W16" s="140"/>
      <c r="AE16" s="88" t="s">
        <v>50</v>
      </c>
      <c r="AF16" s="11"/>
    </row>
    <row r="17" spans="2:32" ht="16.5">
      <c r="B17" s="12">
        <v>43627</v>
      </c>
      <c r="C17" s="88" t="s">
        <v>47</v>
      </c>
      <c r="D17" s="88">
        <v>14</v>
      </c>
      <c r="E17" s="88">
        <v>4</v>
      </c>
      <c r="F17" s="88" t="s">
        <v>48</v>
      </c>
      <c r="G17" s="10">
        <v>133534.54999999999</v>
      </c>
      <c r="H17" s="10">
        <v>133538</v>
      </c>
      <c r="I17" s="90">
        <v>3.45</v>
      </c>
      <c r="J17" s="89">
        <v>3.5</v>
      </c>
      <c r="K17" s="88">
        <v>12.075000000000001</v>
      </c>
      <c r="L17" s="89">
        <v>0.1</v>
      </c>
      <c r="M17" s="89">
        <v>1.2075000000000002</v>
      </c>
      <c r="W17" s="140"/>
      <c r="AE17" s="88" t="s">
        <v>50</v>
      </c>
      <c r="AF17" s="11"/>
    </row>
    <row r="18" spans="2:32" ht="16.5">
      <c r="B18" s="12">
        <v>43627</v>
      </c>
      <c r="C18" s="88" t="s">
        <v>47</v>
      </c>
      <c r="D18" s="88">
        <v>15</v>
      </c>
      <c r="E18" s="88">
        <v>4</v>
      </c>
      <c r="F18" s="88" t="s">
        <v>48</v>
      </c>
      <c r="G18" s="10">
        <v>133625.70000000001</v>
      </c>
      <c r="H18" s="10">
        <v>133635.1</v>
      </c>
      <c r="I18" s="90">
        <v>9.4</v>
      </c>
      <c r="J18" s="89">
        <v>3.5</v>
      </c>
      <c r="K18" s="88">
        <v>32.9</v>
      </c>
      <c r="L18" s="89">
        <v>0.1</v>
      </c>
      <c r="M18" s="89">
        <v>3.29</v>
      </c>
      <c r="W18" s="140"/>
      <c r="AE18" s="88" t="s">
        <v>50</v>
      </c>
      <c r="AF18" s="11"/>
    </row>
    <row r="19" spans="2:32" ht="16.5">
      <c r="B19" s="12">
        <v>43628</v>
      </c>
      <c r="C19" s="88" t="s">
        <v>47</v>
      </c>
      <c r="D19" s="88">
        <v>16</v>
      </c>
      <c r="E19" s="88">
        <v>4</v>
      </c>
      <c r="F19" s="88" t="s">
        <v>48</v>
      </c>
      <c r="G19" s="10">
        <v>133793.1</v>
      </c>
      <c r="H19" s="10">
        <v>133795.1</v>
      </c>
      <c r="I19" s="90">
        <v>2</v>
      </c>
      <c r="J19" s="89">
        <v>2.2000000000000002</v>
      </c>
      <c r="K19" s="88">
        <v>4.4000000000000004</v>
      </c>
      <c r="L19" s="89">
        <v>0.1</v>
      </c>
      <c r="M19" s="89">
        <v>0.44000000000000006</v>
      </c>
      <c r="W19" s="141">
        <v>80.045000000000002</v>
      </c>
      <c r="AE19" s="88" t="s">
        <v>50</v>
      </c>
      <c r="AF19" s="11"/>
    </row>
    <row r="20" spans="2:32" ht="16.5">
      <c r="B20" s="12">
        <v>43628</v>
      </c>
      <c r="C20" s="88" t="s">
        <v>47</v>
      </c>
      <c r="D20" s="88">
        <v>17</v>
      </c>
      <c r="E20" s="88">
        <v>4</v>
      </c>
      <c r="F20" s="88" t="s">
        <v>48</v>
      </c>
      <c r="G20" s="10">
        <v>134237.70000000001</v>
      </c>
      <c r="H20" s="10">
        <v>134241.20000000001</v>
      </c>
      <c r="I20" s="90">
        <v>3.5</v>
      </c>
      <c r="J20" s="89">
        <v>3.5</v>
      </c>
      <c r="K20" s="88">
        <v>12.25</v>
      </c>
      <c r="L20" s="89">
        <v>0.1</v>
      </c>
      <c r="M20" s="89">
        <v>1.2250000000000001</v>
      </c>
      <c r="W20" s="142"/>
      <c r="AE20" s="88" t="s">
        <v>50</v>
      </c>
      <c r="AF20" s="11"/>
    </row>
    <row r="21" spans="2:32" ht="16.5">
      <c r="B21" s="12">
        <v>43628</v>
      </c>
      <c r="C21" s="88" t="s">
        <v>47</v>
      </c>
      <c r="D21" s="88">
        <v>18</v>
      </c>
      <c r="E21" s="88">
        <v>4</v>
      </c>
      <c r="F21" s="88" t="s">
        <v>48</v>
      </c>
      <c r="G21" s="10">
        <v>134956.04999999999</v>
      </c>
      <c r="H21" s="10">
        <v>134959.94999999998</v>
      </c>
      <c r="I21" s="90">
        <v>3.9</v>
      </c>
      <c r="J21" s="89">
        <v>3.5</v>
      </c>
      <c r="K21" s="88">
        <v>13.65</v>
      </c>
      <c r="L21" s="89">
        <v>0.1</v>
      </c>
      <c r="M21" s="89">
        <v>1.3650000000000002</v>
      </c>
      <c r="W21" s="142"/>
      <c r="AE21" s="88" t="s">
        <v>50</v>
      </c>
      <c r="AF21" s="11"/>
    </row>
    <row r="22" spans="2:32" ht="16.5">
      <c r="B22" s="12">
        <v>43628</v>
      </c>
      <c r="C22" s="88" t="s">
        <v>47</v>
      </c>
      <c r="D22" s="88">
        <v>19</v>
      </c>
      <c r="E22" s="88">
        <v>4</v>
      </c>
      <c r="F22" s="88" t="s">
        <v>48</v>
      </c>
      <c r="G22" s="10">
        <v>134970.5</v>
      </c>
      <c r="H22" s="10">
        <v>134975.4</v>
      </c>
      <c r="I22" s="90">
        <v>4.9000000000000004</v>
      </c>
      <c r="J22" s="89">
        <v>3.5</v>
      </c>
      <c r="K22" s="88">
        <v>17.150000000000002</v>
      </c>
      <c r="L22" s="89">
        <v>0.1</v>
      </c>
      <c r="M22" s="89">
        <v>1.7150000000000003</v>
      </c>
      <c r="W22" s="142"/>
      <c r="AE22" s="88" t="s">
        <v>50</v>
      </c>
      <c r="AF22" s="11"/>
    </row>
    <row r="23" spans="2:32" ht="16.5">
      <c r="B23" s="12">
        <v>43628</v>
      </c>
      <c r="C23" s="88" t="s">
        <v>47</v>
      </c>
      <c r="D23" s="88">
        <v>20</v>
      </c>
      <c r="E23" s="88">
        <v>4</v>
      </c>
      <c r="F23" s="88" t="s">
        <v>48</v>
      </c>
      <c r="G23" s="10">
        <v>135040.78</v>
      </c>
      <c r="H23" s="10">
        <v>135045.28</v>
      </c>
      <c r="I23" s="90">
        <v>4.5</v>
      </c>
      <c r="J23" s="89">
        <v>3.5</v>
      </c>
      <c r="K23" s="88">
        <v>15.75</v>
      </c>
      <c r="L23" s="89">
        <v>0.1</v>
      </c>
      <c r="M23" s="89">
        <v>1.5750000000000002</v>
      </c>
      <c r="W23" s="142"/>
      <c r="AE23" s="88" t="s">
        <v>50</v>
      </c>
      <c r="AF23" s="11"/>
    </row>
    <row r="24" spans="2:32" ht="16.5">
      <c r="B24" s="12">
        <v>43628</v>
      </c>
      <c r="C24" s="88" t="s">
        <v>47</v>
      </c>
      <c r="D24" s="88">
        <v>21</v>
      </c>
      <c r="E24" s="88">
        <v>4</v>
      </c>
      <c r="F24" s="88" t="s">
        <v>48</v>
      </c>
      <c r="G24" s="10">
        <v>135056.9</v>
      </c>
      <c r="H24" s="10">
        <v>135060.69999999998</v>
      </c>
      <c r="I24" s="90">
        <v>3.8</v>
      </c>
      <c r="J24" s="89">
        <v>3.5</v>
      </c>
      <c r="K24" s="88">
        <v>13.299999999999999</v>
      </c>
      <c r="L24" s="89">
        <v>0.1</v>
      </c>
      <c r="M24" s="89">
        <v>1.33</v>
      </c>
      <c r="W24" s="142"/>
      <c r="AE24" s="88" t="s">
        <v>50</v>
      </c>
      <c r="AF24" s="11"/>
    </row>
    <row r="25" spans="2:32" ht="16.5">
      <c r="B25" s="12">
        <v>43628</v>
      </c>
      <c r="C25" s="88" t="s">
        <v>47</v>
      </c>
      <c r="D25" s="88">
        <v>22</v>
      </c>
      <c r="E25" s="88">
        <v>4</v>
      </c>
      <c r="F25" s="88" t="s">
        <v>48</v>
      </c>
      <c r="G25" s="10">
        <v>135071.95000000001</v>
      </c>
      <c r="H25" s="10">
        <v>135092.95000000001</v>
      </c>
      <c r="I25" s="90">
        <v>21</v>
      </c>
      <c r="J25" s="89">
        <v>3.5</v>
      </c>
      <c r="K25" s="88">
        <v>73.5</v>
      </c>
      <c r="L25" s="89">
        <v>0.1</v>
      </c>
      <c r="M25" s="89">
        <v>7.3500000000000005</v>
      </c>
      <c r="W25" s="142"/>
      <c r="AE25" s="88" t="s">
        <v>50</v>
      </c>
      <c r="AF25" s="11"/>
    </row>
    <row r="26" spans="2:32" ht="16.5">
      <c r="B26" s="12">
        <v>43628</v>
      </c>
      <c r="C26" s="88" t="s">
        <v>47</v>
      </c>
      <c r="D26" s="88">
        <v>23</v>
      </c>
      <c r="E26" s="88">
        <v>4</v>
      </c>
      <c r="F26" s="88" t="s">
        <v>48</v>
      </c>
      <c r="G26" s="10">
        <v>135199.35</v>
      </c>
      <c r="H26" s="10">
        <v>135252.45000000001</v>
      </c>
      <c r="I26" s="90">
        <v>53.1</v>
      </c>
      <c r="J26" s="90">
        <v>3.5</v>
      </c>
      <c r="K26" s="88">
        <v>185.85</v>
      </c>
      <c r="L26" s="89">
        <v>0.1</v>
      </c>
      <c r="M26" s="89">
        <v>18.585000000000001</v>
      </c>
      <c r="W26" s="142"/>
      <c r="AE26" s="88" t="s">
        <v>50</v>
      </c>
      <c r="AF26" s="11"/>
    </row>
    <row r="27" spans="2:32" ht="16.5">
      <c r="B27" s="12">
        <v>43628</v>
      </c>
      <c r="C27" s="88" t="s">
        <v>47</v>
      </c>
      <c r="D27" s="88">
        <v>24</v>
      </c>
      <c r="E27" s="88">
        <v>4</v>
      </c>
      <c r="F27" s="88" t="s">
        <v>48</v>
      </c>
      <c r="G27" s="10">
        <v>135280.15</v>
      </c>
      <c r="H27" s="10">
        <v>135283.75</v>
      </c>
      <c r="I27" s="90">
        <v>3.6</v>
      </c>
      <c r="J27" s="90">
        <v>3.5</v>
      </c>
      <c r="K27" s="88">
        <v>12.6</v>
      </c>
      <c r="L27" s="89">
        <v>0.1</v>
      </c>
      <c r="M27" s="89">
        <v>1.26</v>
      </c>
      <c r="W27" s="142"/>
      <c r="AE27" s="88" t="s">
        <v>50</v>
      </c>
      <c r="AF27" s="11"/>
    </row>
    <row r="28" spans="2:32" ht="16.5">
      <c r="B28" s="12">
        <v>43629</v>
      </c>
      <c r="C28" s="88" t="s">
        <v>47</v>
      </c>
      <c r="D28" s="88">
        <v>25</v>
      </c>
      <c r="E28" s="88">
        <v>4</v>
      </c>
      <c r="F28" s="88" t="s">
        <v>48</v>
      </c>
      <c r="G28" s="10">
        <v>136740.79999999999</v>
      </c>
      <c r="H28" s="10">
        <v>136744.65</v>
      </c>
      <c r="I28" s="90">
        <v>3.85</v>
      </c>
      <c r="J28" s="90">
        <v>3.5</v>
      </c>
      <c r="K28" s="88">
        <v>13.475</v>
      </c>
      <c r="L28" s="89">
        <v>0.1</v>
      </c>
      <c r="M28" s="89">
        <v>1.3475000000000001</v>
      </c>
      <c r="W28" s="139">
        <v>20</v>
      </c>
      <c r="AE28" s="88" t="s">
        <v>50</v>
      </c>
      <c r="AF28" s="11"/>
    </row>
    <row r="29" spans="2:32" ht="16.5">
      <c r="B29" s="12">
        <v>43629</v>
      </c>
      <c r="C29" s="88" t="s">
        <v>47</v>
      </c>
      <c r="D29" s="88">
        <v>26</v>
      </c>
      <c r="E29" s="88">
        <v>4</v>
      </c>
      <c r="F29" s="88" t="s">
        <v>48</v>
      </c>
      <c r="G29" s="10">
        <v>136756.35</v>
      </c>
      <c r="H29" s="10">
        <v>136763.30000000002</v>
      </c>
      <c r="I29" s="90">
        <v>6.95</v>
      </c>
      <c r="J29" s="90">
        <v>3.5</v>
      </c>
      <c r="K29" s="88">
        <v>24.324999999999999</v>
      </c>
      <c r="L29" s="89">
        <v>0.1</v>
      </c>
      <c r="M29" s="89">
        <v>2.4325000000000001</v>
      </c>
      <c r="W29" s="140"/>
      <c r="AE29" s="88" t="s">
        <v>50</v>
      </c>
      <c r="AF29" s="11"/>
    </row>
    <row r="30" spans="2:32" ht="16.5">
      <c r="B30" s="12">
        <v>43634</v>
      </c>
      <c r="C30" s="11" t="s">
        <v>47</v>
      </c>
      <c r="D30" s="11">
        <v>27</v>
      </c>
      <c r="E30" s="11">
        <v>4</v>
      </c>
      <c r="F30" s="11" t="s">
        <v>48</v>
      </c>
      <c r="G30" s="10">
        <v>137911.67999999999</v>
      </c>
      <c r="H30" s="10">
        <f t="shared" ref="H30" si="4">G30+I30</f>
        <v>137925.22999999998</v>
      </c>
      <c r="I30" s="31">
        <v>13.55</v>
      </c>
      <c r="J30" s="31">
        <v>3.5</v>
      </c>
      <c r="K30" s="11">
        <f t="shared" ref="K30:K60" si="5">J30*I30</f>
        <v>47.425000000000004</v>
      </c>
      <c r="L30" s="13">
        <v>0.1</v>
      </c>
      <c r="M30" s="13">
        <f t="shared" ref="M30:M60" si="6">L30*K30</f>
        <v>4.7425000000000006</v>
      </c>
      <c r="W30" s="13">
        <v>11.86</v>
      </c>
      <c r="AE30" s="11" t="s">
        <v>50</v>
      </c>
      <c r="AF30" s="11"/>
    </row>
    <row r="31" spans="2:32" ht="16.5">
      <c r="B31" s="12">
        <v>43635</v>
      </c>
      <c r="C31" s="11" t="s">
        <v>47</v>
      </c>
      <c r="D31" s="11">
        <v>28</v>
      </c>
      <c r="E31" s="11">
        <v>4</v>
      </c>
      <c r="F31" s="11" t="s">
        <v>48</v>
      </c>
      <c r="G31" s="10">
        <v>139336.5</v>
      </c>
      <c r="H31" s="10">
        <v>139340.75</v>
      </c>
      <c r="I31" s="31">
        <f t="shared" ref="I31:I60" si="7">H31-G31</f>
        <v>4.25</v>
      </c>
      <c r="J31" s="31">
        <v>3.5</v>
      </c>
      <c r="K31" s="11">
        <f t="shared" si="5"/>
        <v>14.875</v>
      </c>
      <c r="L31" s="13">
        <v>0.1</v>
      </c>
      <c r="M31" s="13">
        <f t="shared" si="6"/>
        <v>1.4875</v>
      </c>
      <c r="W31" s="130" t="s">
        <v>95</v>
      </c>
      <c r="AE31" s="11" t="s">
        <v>50</v>
      </c>
      <c r="AF31" s="11"/>
    </row>
    <row r="32" spans="2:32" ht="16.5">
      <c r="B32" s="12">
        <v>43635</v>
      </c>
      <c r="C32" s="11" t="s">
        <v>47</v>
      </c>
      <c r="D32" s="11">
        <v>29</v>
      </c>
      <c r="E32" s="11">
        <v>4</v>
      </c>
      <c r="F32" s="11" t="s">
        <v>48</v>
      </c>
      <c r="G32" s="10">
        <v>139353.95000000001</v>
      </c>
      <c r="H32" s="10">
        <v>139359.25</v>
      </c>
      <c r="I32" s="31">
        <f t="shared" si="7"/>
        <v>5.2999999999883585</v>
      </c>
      <c r="J32" s="31">
        <v>3.5</v>
      </c>
      <c r="K32" s="11">
        <f t="shared" si="5"/>
        <v>18.549999999959255</v>
      </c>
      <c r="L32" s="13">
        <v>0.1</v>
      </c>
      <c r="M32" s="13">
        <f t="shared" si="6"/>
        <v>1.8549999999959255</v>
      </c>
      <c r="W32" s="131"/>
      <c r="AE32" s="11" t="s">
        <v>50</v>
      </c>
      <c r="AF32" s="11"/>
    </row>
    <row r="33" spans="2:32" ht="16.5">
      <c r="B33" s="12">
        <v>43635</v>
      </c>
      <c r="C33" s="11" t="s">
        <v>47</v>
      </c>
      <c r="D33" s="11">
        <v>30</v>
      </c>
      <c r="E33" s="11">
        <v>4</v>
      </c>
      <c r="F33" s="11" t="s">
        <v>48</v>
      </c>
      <c r="G33" s="10">
        <v>139443.20000000001</v>
      </c>
      <c r="H33" s="10">
        <v>139457</v>
      </c>
      <c r="I33" s="31">
        <f t="shared" si="7"/>
        <v>13.799999999988358</v>
      </c>
      <c r="J33" s="31">
        <v>3.5</v>
      </c>
      <c r="K33" s="11">
        <f t="shared" si="5"/>
        <v>48.299999999959255</v>
      </c>
      <c r="L33" s="13">
        <v>0.1</v>
      </c>
      <c r="M33" s="13">
        <f t="shared" si="6"/>
        <v>4.829999999995926</v>
      </c>
      <c r="W33" s="131"/>
      <c r="AE33" s="11" t="s">
        <v>50</v>
      </c>
      <c r="AF33" s="11"/>
    </row>
    <row r="34" spans="2:32" ht="16.5">
      <c r="B34" s="12">
        <v>43635</v>
      </c>
      <c r="C34" s="11" t="s">
        <v>47</v>
      </c>
      <c r="D34" s="11">
        <v>31</v>
      </c>
      <c r="E34" s="11">
        <v>4</v>
      </c>
      <c r="F34" s="11" t="s">
        <v>48</v>
      </c>
      <c r="G34" s="10">
        <v>139662.29999999999</v>
      </c>
      <c r="H34" s="10">
        <v>139666</v>
      </c>
      <c r="I34" s="31">
        <f t="shared" si="7"/>
        <v>3.7000000000116415</v>
      </c>
      <c r="J34" s="31">
        <v>4</v>
      </c>
      <c r="K34" s="11">
        <f t="shared" si="5"/>
        <v>14.800000000046566</v>
      </c>
      <c r="L34" s="13">
        <v>0.1</v>
      </c>
      <c r="M34" s="13">
        <f t="shared" si="6"/>
        <v>1.4800000000046567</v>
      </c>
      <c r="W34" s="131"/>
      <c r="AE34" s="11" t="s">
        <v>50</v>
      </c>
      <c r="AF34" s="11"/>
    </row>
    <row r="35" spans="2:32" ht="16.5">
      <c r="B35" s="12">
        <v>43635</v>
      </c>
      <c r="C35" s="11" t="s">
        <v>47</v>
      </c>
      <c r="D35" s="11">
        <v>32</v>
      </c>
      <c r="E35" s="11">
        <v>4</v>
      </c>
      <c r="F35" s="11" t="s">
        <v>48</v>
      </c>
      <c r="G35" s="10">
        <v>139706.54999999999</v>
      </c>
      <c r="H35" s="10">
        <v>139710</v>
      </c>
      <c r="I35" s="31">
        <f t="shared" si="7"/>
        <v>3.4500000000116415</v>
      </c>
      <c r="J35" s="31">
        <v>3.5</v>
      </c>
      <c r="K35" s="11">
        <f t="shared" si="5"/>
        <v>12.075000000040745</v>
      </c>
      <c r="L35" s="13">
        <v>0.1</v>
      </c>
      <c r="M35" s="13">
        <f t="shared" si="6"/>
        <v>1.2075000000040745</v>
      </c>
      <c r="W35" s="131"/>
      <c r="AE35" s="11" t="s">
        <v>50</v>
      </c>
      <c r="AF35" s="11"/>
    </row>
    <row r="36" spans="2:32" ht="16.5">
      <c r="B36" s="12">
        <v>43635</v>
      </c>
      <c r="C36" s="11" t="s">
        <v>47</v>
      </c>
      <c r="D36" s="11">
        <v>33</v>
      </c>
      <c r="E36" s="11">
        <v>4</v>
      </c>
      <c r="F36" s="11" t="s">
        <v>48</v>
      </c>
      <c r="G36" s="10">
        <v>139723.35</v>
      </c>
      <c r="H36" s="10">
        <v>139726.54999999999</v>
      </c>
      <c r="I36" s="31">
        <f t="shared" si="7"/>
        <v>3.1999999999825377</v>
      </c>
      <c r="J36" s="31">
        <v>3.5</v>
      </c>
      <c r="K36" s="11">
        <f t="shared" si="5"/>
        <v>11.199999999938882</v>
      </c>
      <c r="L36" s="13">
        <v>0.1</v>
      </c>
      <c r="M36" s="13">
        <f t="shared" si="6"/>
        <v>1.1199999999938883</v>
      </c>
      <c r="W36" s="131"/>
      <c r="AE36" s="11" t="s">
        <v>50</v>
      </c>
      <c r="AF36" s="11"/>
    </row>
    <row r="37" spans="2:32" ht="16.5">
      <c r="B37" s="12">
        <v>43635</v>
      </c>
      <c r="C37" s="11" t="s">
        <v>47</v>
      </c>
      <c r="D37" s="11">
        <v>34</v>
      </c>
      <c r="E37" s="11">
        <v>4</v>
      </c>
      <c r="F37" s="11" t="s">
        <v>48</v>
      </c>
      <c r="G37" s="10">
        <v>139818</v>
      </c>
      <c r="H37" s="10">
        <v>139821</v>
      </c>
      <c r="I37" s="31">
        <f t="shared" si="7"/>
        <v>3</v>
      </c>
      <c r="J37" s="31">
        <v>3.5</v>
      </c>
      <c r="K37" s="11">
        <f t="shared" si="5"/>
        <v>10.5</v>
      </c>
      <c r="L37" s="13">
        <v>0.1</v>
      </c>
      <c r="M37" s="13">
        <f t="shared" si="6"/>
        <v>1.05</v>
      </c>
      <c r="W37" s="131"/>
      <c r="AE37" s="11" t="s">
        <v>50</v>
      </c>
      <c r="AF37" s="11"/>
    </row>
    <row r="38" spans="2:32" ht="16.5">
      <c r="B38" s="12">
        <v>43635</v>
      </c>
      <c r="C38" s="11" t="s">
        <v>47</v>
      </c>
      <c r="D38" s="11">
        <v>35</v>
      </c>
      <c r="E38" s="11">
        <v>4</v>
      </c>
      <c r="F38" s="11" t="s">
        <v>48</v>
      </c>
      <c r="G38" s="10">
        <v>140074</v>
      </c>
      <c r="H38" s="10">
        <v>140078.5</v>
      </c>
      <c r="I38" s="31">
        <f t="shared" si="7"/>
        <v>4.5</v>
      </c>
      <c r="J38" s="31">
        <v>3.5</v>
      </c>
      <c r="K38" s="11">
        <f t="shared" si="5"/>
        <v>15.75</v>
      </c>
      <c r="L38" s="13">
        <v>0.1</v>
      </c>
      <c r="M38" s="13">
        <f t="shared" si="6"/>
        <v>1.5750000000000002</v>
      </c>
      <c r="W38" s="131"/>
      <c r="AE38" s="11" t="s">
        <v>50</v>
      </c>
      <c r="AF38" s="11"/>
    </row>
    <row r="39" spans="2:32" ht="16.5">
      <c r="B39" s="12">
        <v>43635</v>
      </c>
      <c r="C39" s="11" t="s">
        <v>47</v>
      </c>
      <c r="D39" s="11">
        <v>36</v>
      </c>
      <c r="E39" s="11">
        <v>4</v>
      </c>
      <c r="F39" s="11" t="s">
        <v>48</v>
      </c>
      <c r="G39" s="10">
        <v>140333.65</v>
      </c>
      <c r="H39" s="10">
        <v>140349.5</v>
      </c>
      <c r="I39" s="31">
        <f t="shared" si="7"/>
        <v>15.850000000005821</v>
      </c>
      <c r="J39" s="31">
        <v>3.5</v>
      </c>
      <c r="K39" s="11">
        <f t="shared" si="5"/>
        <v>55.475000000020373</v>
      </c>
      <c r="L39" s="13">
        <v>0.1</v>
      </c>
      <c r="M39" s="13">
        <f t="shared" si="6"/>
        <v>5.5475000000020378</v>
      </c>
      <c r="W39" s="131"/>
      <c r="AE39" s="11" t="s">
        <v>50</v>
      </c>
      <c r="AF39" s="11"/>
    </row>
    <row r="40" spans="2:32" ht="16.5">
      <c r="B40" s="12">
        <v>43635</v>
      </c>
      <c r="C40" s="11" t="s">
        <v>47</v>
      </c>
      <c r="D40" s="11">
        <v>37</v>
      </c>
      <c r="E40" s="11">
        <v>4</v>
      </c>
      <c r="F40" s="11" t="s">
        <v>48</v>
      </c>
      <c r="G40" s="10">
        <v>140554.85</v>
      </c>
      <c r="H40" s="10">
        <v>140567.65</v>
      </c>
      <c r="I40" s="31">
        <f t="shared" si="7"/>
        <v>12.799999999988358</v>
      </c>
      <c r="J40" s="31">
        <v>3.5</v>
      </c>
      <c r="K40" s="11">
        <f t="shared" si="5"/>
        <v>44.799999999959255</v>
      </c>
      <c r="L40" s="13">
        <v>0.1</v>
      </c>
      <c r="M40" s="13">
        <f t="shared" si="6"/>
        <v>4.4799999999959255</v>
      </c>
      <c r="W40" s="132"/>
      <c r="AE40" s="11" t="s">
        <v>50</v>
      </c>
      <c r="AF40" s="11"/>
    </row>
    <row r="41" spans="2:32" ht="16.5">
      <c r="B41" s="12">
        <v>43636</v>
      </c>
      <c r="C41" s="11" t="s">
        <v>47</v>
      </c>
      <c r="D41" s="11">
        <v>38</v>
      </c>
      <c r="E41" s="11">
        <v>4</v>
      </c>
      <c r="F41" s="11" t="s">
        <v>48</v>
      </c>
      <c r="G41" s="10">
        <v>142308.9</v>
      </c>
      <c r="H41" s="10">
        <v>142311.95000000001</v>
      </c>
      <c r="I41" s="31">
        <f t="shared" si="7"/>
        <v>3.0500000000174623</v>
      </c>
      <c r="J41" s="31">
        <v>3.45</v>
      </c>
      <c r="K41" s="11">
        <f t="shared" si="5"/>
        <v>10.522500000060246</v>
      </c>
      <c r="L41" s="13">
        <v>0.1</v>
      </c>
      <c r="M41" s="13">
        <f t="shared" si="6"/>
        <v>1.0522500000060246</v>
      </c>
      <c r="W41" s="130">
        <v>48.52</v>
      </c>
      <c r="AE41" s="11" t="s">
        <v>50</v>
      </c>
      <c r="AF41" s="11"/>
    </row>
    <row r="42" spans="2:32" ht="16.5">
      <c r="B42" s="12">
        <v>43636</v>
      </c>
      <c r="C42" s="11" t="s">
        <v>47</v>
      </c>
      <c r="D42" s="11">
        <v>39</v>
      </c>
      <c r="E42" s="11">
        <v>4</v>
      </c>
      <c r="F42" s="11" t="s">
        <v>48</v>
      </c>
      <c r="G42" s="10">
        <v>142755.75</v>
      </c>
      <c r="H42" s="10">
        <v>142758.65</v>
      </c>
      <c r="I42" s="31">
        <f t="shared" si="7"/>
        <v>2.8999999999941792</v>
      </c>
      <c r="J42" s="31">
        <v>3.45</v>
      </c>
      <c r="K42" s="11">
        <f t="shared" si="5"/>
        <v>10.004999999979919</v>
      </c>
      <c r="L42" s="13">
        <v>0.1</v>
      </c>
      <c r="M42" s="13">
        <f t="shared" si="6"/>
        <v>1.000499999997992</v>
      </c>
      <c r="W42" s="131"/>
      <c r="AE42" s="11" t="s">
        <v>50</v>
      </c>
      <c r="AF42" s="11"/>
    </row>
    <row r="43" spans="2:32" ht="16.5">
      <c r="B43" s="12">
        <v>43636</v>
      </c>
      <c r="C43" s="11" t="s">
        <v>47</v>
      </c>
      <c r="D43" s="11">
        <v>40</v>
      </c>
      <c r="E43" s="11">
        <v>4</v>
      </c>
      <c r="F43" s="11" t="s">
        <v>48</v>
      </c>
      <c r="G43" s="10">
        <v>143193.20000000001</v>
      </c>
      <c r="H43" s="10">
        <v>143195.85</v>
      </c>
      <c r="I43" s="31">
        <f t="shared" si="7"/>
        <v>2.6499999999941792</v>
      </c>
      <c r="J43" s="31">
        <v>3.5</v>
      </c>
      <c r="K43" s="11">
        <f t="shared" si="5"/>
        <v>9.2749999999796273</v>
      </c>
      <c r="L43" s="13">
        <v>0.1</v>
      </c>
      <c r="M43" s="13">
        <f t="shared" si="6"/>
        <v>0.92749999999796273</v>
      </c>
      <c r="W43" s="131"/>
      <c r="AE43" s="11" t="s">
        <v>50</v>
      </c>
      <c r="AF43" s="11"/>
    </row>
    <row r="44" spans="2:32" ht="16.5">
      <c r="B44" s="12">
        <v>43636</v>
      </c>
      <c r="C44" s="11" t="s">
        <v>47</v>
      </c>
      <c r="D44" s="11">
        <v>41</v>
      </c>
      <c r="E44" s="11">
        <v>4</v>
      </c>
      <c r="F44" s="11" t="s">
        <v>48</v>
      </c>
      <c r="G44" s="10">
        <v>143215.15</v>
      </c>
      <c r="H44" s="10">
        <v>143218.1</v>
      </c>
      <c r="I44" s="31">
        <f t="shared" si="7"/>
        <v>2.9500000000116415</v>
      </c>
      <c r="J44" s="31">
        <v>3.5</v>
      </c>
      <c r="K44" s="11">
        <f t="shared" si="5"/>
        <v>10.325000000040745</v>
      </c>
      <c r="L44" s="13">
        <v>0.1</v>
      </c>
      <c r="M44" s="13">
        <f t="shared" si="6"/>
        <v>1.0325000000040745</v>
      </c>
      <c r="W44" s="131"/>
      <c r="AE44" s="11" t="s">
        <v>50</v>
      </c>
      <c r="AF44" s="11"/>
    </row>
    <row r="45" spans="2:32" ht="16.5">
      <c r="B45" s="12">
        <v>43636</v>
      </c>
      <c r="C45" s="11" t="s">
        <v>47</v>
      </c>
      <c r="D45" s="11">
        <v>42</v>
      </c>
      <c r="E45" s="11">
        <v>4</v>
      </c>
      <c r="F45" s="11" t="s">
        <v>48</v>
      </c>
      <c r="G45" s="10">
        <v>143274.45000000001</v>
      </c>
      <c r="H45" s="10">
        <v>143277.6</v>
      </c>
      <c r="I45" s="31">
        <f t="shared" si="7"/>
        <v>3.1499999999941792</v>
      </c>
      <c r="J45" s="31">
        <v>3.5</v>
      </c>
      <c r="K45" s="11">
        <f t="shared" si="5"/>
        <v>11.024999999979627</v>
      </c>
      <c r="L45" s="13">
        <v>0.1</v>
      </c>
      <c r="M45" s="13">
        <f t="shared" si="6"/>
        <v>1.1024999999979628</v>
      </c>
      <c r="W45" s="131"/>
      <c r="AE45" s="11" t="s">
        <v>50</v>
      </c>
      <c r="AF45" s="11"/>
    </row>
    <row r="46" spans="2:32" ht="16.5">
      <c r="B46" s="12">
        <v>43636</v>
      </c>
      <c r="C46" s="11" t="s">
        <v>47</v>
      </c>
      <c r="D46" s="11">
        <v>43</v>
      </c>
      <c r="E46" s="11">
        <v>4</v>
      </c>
      <c r="F46" s="11" t="s">
        <v>48</v>
      </c>
      <c r="G46" s="10">
        <v>144100</v>
      </c>
      <c r="H46" s="10">
        <v>144103.29999999999</v>
      </c>
      <c r="I46" s="31">
        <f t="shared" si="7"/>
        <v>3.2999999999883585</v>
      </c>
      <c r="J46" s="31">
        <v>3.4</v>
      </c>
      <c r="K46" s="11">
        <f t="shared" si="5"/>
        <v>11.219999999960418</v>
      </c>
      <c r="L46" s="13">
        <v>0.1</v>
      </c>
      <c r="M46" s="13">
        <f t="shared" si="6"/>
        <v>1.1219999999960419</v>
      </c>
      <c r="W46" s="131"/>
      <c r="AE46" s="11" t="s">
        <v>50</v>
      </c>
      <c r="AF46" s="11"/>
    </row>
    <row r="47" spans="2:32" ht="16.5">
      <c r="B47" s="12">
        <v>43636</v>
      </c>
      <c r="C47" s="11" t="s">
        <v>47</v>
      </c>
      <c r="D47" s="11">
        <v>44</v>
      </c>
      <c r="E47" s="11">
        <v>4</v>
      </c>
      <c r="F47" s="11" t="s">
        <v>48</v>
      </c>
      <c r="G47" s="10">
        <v>144517</v>
      </c>
      <c r="H47" s="10">
        <v>144520.1</v>
      </c>
      <c r="I47" s="31">
        <f t="shared" si="7"/>
        <v>3.1000000000058208</v>
      </c>
      <c r="J47" s="31">
        <v>3.76</v>
      </c>
      <c r="K47" s="11">
        <f t="shared" si="5"/>
        <v>11.656000000021885</v>
      </c>
      <c r="L47" s="13">
        <v>0.1</v>
      </c>
      <c r="M47" s="13">
        <f t="shared" si="6"/>
        <v>1.1656000000021887</v>
      </c>
      <c r="W47" s="131"/>
      <c r="AE47" s="11" t="s">
        <v>50</v>
      </c>
      <c r="AF47" s="11"/>
    </row>
    <row r="48" spans="2:32" ht="16.5">
      <c r="B48" s="12">
        <v>43636</v>
      </c>
      <c r="C48" s="11" t="s">
        <v>47</v>
      </c>
      <c r="D48" s="11">
        <v>45</v>
      </c>
      <c r="E48" s="11">
        <v>4</v>
      </c>
      <c r="F48" s="11" t="s">
        <v>48</v>
      </c>
      <c r="G48" s="10">
        <v>144578.6</v>
      </c>
      <c r="H48" s="10">
        <v>144585.15</v>
      </c>
      <c r="I48" s="31">
        <f t="shared" si="7"/>
        <v>6.5499999999883585</v>
      </c>
      <c r="J48" s="31">
        <v>3.84</v>
      </c>
      <c r="K48" s="11">
        <f t="shared" si="5"/>
        <v>25.151999999955297</v>
      </c>
      <c r="L48" s="13">
        <v>0.1</v>
      </c>
      <c r="M48" s="13">
        <f t="shared" si="6"/>
        <v>2.5151999999955299</v>
      </c>
      <c r="W48" s="132"/>
      <c r="AE48" s="11" t="s">
        <v>50</v>
      </c>
      <c r="AF48" s="11"/>
    </row>
    <row r="49" spans="2:32" ht="16.5">
      <c r="B49" s="12">
        <v>43637</v>
      </c>
      <c r="C49" s="11" t="s">
        <v>47</v>
      </c>
      <c r="D49" s="11">
        <v>1</v>
      </c>
      <c r="E49" s="11">
        <v>4</v>
      </c>
      <c r="F49" s="11" t="s">
        <v>48</v>
      </c>
      <c r="G49" s="10">
        <v>142300</v>
      </c>
      <c r="H49" s="10">
        <v>142310.79999999999</v>
      </c>
      <c r="I49" s="31">
        <f t="shared" si="7"/>
        <v>10.799999999988358</v>
      </c>
      <c r="J49" s="31">
        <v>3.5</v>
      </c>
      <c r="K49" s="11">
        <f t="shared" si="5"/>
        <v>37.799999999959255</v>
      </c>
      <c r="L49" s="13">
        <v>0.1</v>
      </c>
      <c r="M49" s="13">
        <f t="shared" si="6"/>
        <v>3.7799999999959257</v>
      </c>
      <c r="W49" s="133">
        <v>307.13</v>
      </c>
      <c r="AE49" s="11" t="s">
        <v>50</v>
      </c>
      <c r="AF49" s="11"/>
    </row>
    <row r="50" spans="2:32" ht="16.5">
      <c r="B50" s="12">
        <v>43637</v>
      </c>
      <c r="C50" s="11" t="s">
        <v>47</v>
      </c>
      <c r="D50" s="11">
        <v>2</v>
      </c>
      <c r="E50" s="11">
        <v>4</v>
      </c>
      <c r="F50" s="11" t="s">
        <v>48</v>
      </c>
      <c r="G50" s="10">
        <v>142334.79999999999</v>
      </c>
      <c r="H50" s="10">
        <v>142409.9</v>
      </c>
      <c r="I50" s="31">
        <f t="shared" si="7"/>
        <v>75.100000000005821</v>
      </c>
      <c r="J50" s="31">
        <v>3.5</v>
      </c>
      <c r="K50" s="11">
        <f t="shared" si="5"/>
        <v>262.85000000002037</v>
      </c>
      <c r="L50" s="13">
        <v>0.1</v>
      </c>
      <c r="M50" s="13">
        <f t="shared" si="6"/>
        <v>26.285000000002039</v>
      </c>
      <c r="W50" s="134"/>
      <c r="AE50" s="11" t="s">
        <v>50</v>
      </c>
      <c r="AF50" s="11"/>
    </row>
    <row r="51" spans="2:32" ht="16.5">
      <c r="B51" s="12">
        <v>43637</v>
      </c>
      <c r="C51" s="11" t="s">
        <v>47</v>
      </c>
      <c r="D51" s="11">
        <v>3</v>
      </c>
      <c r="E51" s="11">
        <v>4</v>
      </c>
      <c r="F51" s="11" t="s">
        <v>48</v>
      </c>
      <c r="G51" s="10">
        <v>142438.29999999999</v>
      </c>
      <c r="H51" s="10">
        <v>142479.20000000001</v>
      </c>
      <c r="I51" s="31">
        <f t="shared" si="7"/>
        <v>40.900000000023283</v>
      </c>
      <c r="J51" s="31">
        <v>3.5</v>
      </c>
      <c r="K51" s="11">
        <f t="shared" si="5"/>
        <v>143.15000000008149</v>
      </c>
      <c r="L51" s="13">
        <v>0.1</v>
      </c>
      <c r="M51" s="13">
        <f t="shared" si="6"/>
        <v>14.315000000008149</v>
      </c>
      <c r="W51" s="134"/>
      <c r="AE51" s="11" t="s">
        <v>50</v>
      </c>
      <c r="AF51" s="11"/>
    </row>
    <row r="52" spans="2:32" ht="16.5">
      <c r="B52" s="12">
        <v>43637</v>
      </c>
      <c r="C52" s="11" t="s">
        <v>47</v>
      </c>
      <c r="D52" s="11">
        <v>4</v>
      </c>
      <c r="E52" s="11">
        <v>4</v>
      </c>
      <c r="F52" s="11" t="s">
        <v>48</v>
      </c>
      <c r="G52" s="10">
        <v>142488</v>
      </c>
      <c r="H52" s="10">
        <v>142510.39999999999</v>
      </c>
      <c r="I52" s="31">
        <f t="shared" si="7"/>
        <v>22.399999999994179</v>
      </c>
      <c r="J52" s="31">
        <v>3.5</v>
      </c>
      <c r="K52" s="11">
        <f t="shared" si="5"/>
        <v>78.399999999979627</v>
      </c>
      <c r="L52" s="13">
        <v>0.1</v>
      </c>
      <c r="M52" s="13">
        <f t="shared" si="6"/>
        <v>7.8399999999979633</v>
      </c>
      <c r="W52" s="134"/>
      <c r="AE52" s="11" t="s">
        <v>50</v>
      </c>
      <c r="AF52" s="11"/>
    </row>
    <row r="53" spans="2:32" ht="16.5">
      <c r="B53" s="12">
        <v>43637</v>
      </c>
      <c r="C53" s="11" t="s">
        <v>47</v>
      </c>
      <c r="D53" s="11">
        <v>5</v>
      </c>
      <c r="E53" s="11">
        <v>4</v>
      </c>
      <c r="F53" s="11" t="s">
        <v>48</v>
      </c>
      <c r="G53" s="10">
        <v>142569.1</v>
      </c>
      <c r="H53" s="10">
        <v>142618.4</v>
      </c>
      <c r="I53" s="31">
        <f t="shared" si="7"/>
        <v>49.299999999988358</v>
      </c>
      <c r="J53" s="31">
        <v>3.5</v>
      </c>
      <c r="K53" s="11">
        <f t="shared" si="5"/>
        <v>172.54999999995925</v>
      </c>
      <c r="L53" s="13">
        <v>0.1</v>
      </c>
      <c r="M53" s="13">
        <f t="shared" si="6"/>
        <v>17.254999999995928</v>
      </c>
      <c r="W53" s="134"/>
      <c r="AE53" s="11" t="s">
        <v>50</v>
      </c>
      <c r="AF53" s="11"/>
    </row>
    <row r="54" spans="2:32" ht="16.5">
      <c r="B54" s="12">
        <v>43637</v>
      </c>
      <c r="C54" s="11" t="s">
        <v>47</v>
      </c>
      <c r="D54" s="11">
        <v>6</v>
      </c>
      <c r="E54" s="11">
        <v>4</v>
      </c>
      <c r="F54" s="11" t="s">
        <v>48</v>
      </c>
      <c r="G54" s="10">
        <v>142642.29999999999</v>
      </c>
      <c r="H54" s="10">
        <v>142649.9</v>
      </c>
      <c r="I54" s="31">
        <f t="shared" si="7"/>
        <v>7.6000000000058208</v>
      </c>
      <c r="J54" s="31">
        <v>3.5</v>
      </c>
      <c r="K54" s="11">
        <f t="shared" si="5"/>
        <v>26.600000000020373</v>
      </c>
      <c r="L54" s="13">
        <v>0.1</v>
      </c>
      <c r="M54" s="13">
        <f t="shared" si="6"/>
        <v>2.6600000000020376</v>
      </c>
      <c r="W54" s="134"/>
      <c r="AE54" s="11" t="s">
        <v>50</v>
      </c>
      <c r="AF54" s="11"/>
    </row>
    <row r="55" spans="2:32" ht="16.5">
      <c r="B55" s="12">
        <v>43637</v>
      </c>
      <c r="C55" s="11" t="s">
        <v>47</v>
      </c>
      <c r="D55" s="11">
        <v>7</v>
      </c>
      <c r="E55" s="11">
        <v>4</v>
      </c>
      <c r="F55" s="11" t="s">
        <v>48</v>
      </c>
      <c r="G55" s="10">
        <v>142699.1</v>
      </c>
      <c r="H55" s="10">
        <v>142705.9</v>
      </c>
      <c r="I55" s="31">
        <f t="shared" si="7"/>
        <v>6.7999999999883585</v>
      </c>
      <c r="J55" s="31">
        <v>3.5</v>
      </c>
      <c r="K55" s="11">
        <f t="shared" si="5"/>
        <v>23.799999999959255</v>
      </c>
      <c r="L55" s="13">
        <v>0.1</v>
      </c>
      <c r="M55" s="13">
        <f t="shared" si="6"/>
        <v>2.3799999999959254</v>
      </c>
      <c r="W55" s="134"/>
      <c r="AE55" s="11" t="s">
        <v>50</v>
      </c>
      <c r="AF55" s="11"/>
    </row>
    <row r="56" spans="2:32" ht="16.5">
      <c r="B56" s="12">
        <v>43637</v>
      </c>
      <c r="C56" s="11" t="s">
        <v>47</v>
      </c>
      <c r="D56" s="11">
        <v>8</v>
      </c>
      <c r="E56" s="11">
        <v>4</v>
      </c>
      <c r="F56" s="11" t="s">
        <v>48</v>
      </c>
      <c r="G56" s="10">
        <v>142733.9</v>
      </c>
      <c r="H56" s="10">
        <v>142740.4</v>
      </c>
      <c r="I56" s="31">
        <f t="shared" si="7"/>
        <v>6.5</v>
      </c>
      <c r="J56" s="31">
        <v>3.5</v>
      </c>
      <c r="K56" s="11">
        <f t="shared" si="5"/>
        <v>22.75</v>
      </c>
      <c r="L56" s="13">
        <v>0.1</v>
      </c>
      <c r="M56" s="13">
        <f t="shared" si="6"/>
        <v>2.2749999999999999</v>
      </c>
      <c r="W56" s="134"/>
      <c r="AE56" s="11" t="s">
        <v>50</v>
      </c>
      <c r="AF56" s="11"/>
    </row>
    <row r="57" spans="2:32" ht="16.5">
      <c r="B57" s="12">
        <v>43637</v>
      </c>
      <c r="C57" s="11" t="s">
        <v>47</v>
      </c>
      <c r="D57" s="11">
        <v>9</v>
      </c>
      <c r="E57" s="11">
        <v>4</v>
      </c>
      <c r="F57" s="11" t="s">
        <v>48</v>
      </c>
      <c r="G57" s="10">
        <v>142758.6</v>
      </c>
      <c r="H57" s="10">
        <v>142813.29999999999</v>
      </c>
      <c r="I57" s="31">
        <f t="shared" si="7"/>
        <v>54.699999999982538</v>
      </c>
      <c r="J57" s="31">
        <v>3.5</v>
      </c>
      <c r="K57" s="11">
        <f t="shared" si="5"/>
        <v>191.44999999993888</v>
      </c>
      <c r="L57" s="13">
        <v>0.1</v>
      </c>
      <c r="M57" s="13">
        <f t="shared" si="6"/>
        <v>19.144999999993889</v>
      </c>
      <c r="W57" s="134"/>
      <c r="AE57" s="11" t="s">
        <v>50</v>
      </c>
      <c r="AF57" s="11"/>
    </row>
    <row r="58" spans="2:32" ht="16.5">
      <c r="B58" s="12">
        <v>43637</v>
      </c>
      <c r="C58" s="11" t="s">
        <v>47</v>
      </c>
      <c r="D58" s="11">
        <v>10</v>
      </c>
      <c r="E58" s="11">
        <v>4</v>
      </c>
      <c r="F58" s="11" t="s">
        <v>48</v>
      </c>
      <c r="G58" s="10">
        <v>142870.1</v>
      </c>
      <c r="H58" s="10">
        <v>142885.70000000001</v>
      </c>
      <c r="I58" s="31">
        <f t="shared" si="7"/>
        <v>15.600000000005821</v>
      </c>
      <c r="J58" s="31">
        <v>3.5</v>
      </c>
      <c r="K58" s="11">
        <f t="shared" si="5"/>
        <v>54.600000000020373</v>
      </c>
      <c r="L58" s="13">
        <v>0.1</v>
      </c>
      <c r="M58" s="13">
        <f t="shared" si="6"/>
        <v>5.4600000000020374</v>
      </c>
      <c r="W58" s="134"/>
      <c r="AE58" s="11" t="s">
        <v>50</v>
      </c>
      <c r="AF58" s="11"/>
    </row>
    <row r="59" spans="2:32" ht="16.5">
      <c r="B59" s="12">
        <v>43638</v>
      </c>
      <c r="C59" s="11" t="s">
        <v>47</v>
      </c>
      <c r="D59" s="11">
        <v>11</v>
      </c>
      <c r="E59" s="11">
        <v>4</v>
      </c>
      <c r="F59" s="11" t="s">
        <v>48</v>
      </c>
      <c r="G59" s="10">
        <v>143129.35</v>
      </c>
      <c r="H59" s="10">
        <v>143363.04999999999</v>
      </c>
      <c r="I59" s="31">
        <f t="shared" si="7"/>
        <v>233.69999999998254</v>
      </c>
      <c r="J59" s="31">
        <v>3.84</v>
      </c>
      <c r="K59" s="11">
        <f t="shared" si="5"/>
        <v>897.40799999993294</v>
      </c>
      <c r="L59" s="13">
        <v>0.1</v>
      </c>
      <c r="M59" s="13">
        <f t="shared" si="6"/>
        <v>89.7407999999933</v>
      </c>
      <c r="W59" s="13">
        <v>299.49</v>
      </c>
      <c r="AE59" s="11" t="s">
        <v>50</v>
      </c>
      <c r="AF59" s="11"/>
    </row>
    <row r="60" spans="2:32" ht="16.5">
      <c r="B60" s="12">
        <v>43638</v>
      </c>
      <c r="C60" s="11" t="s">
        <v>47</v>
      </c>
      <c r="D60" s="11">
        <v>12</v>
      </c>
      <c r="E60" s="11">
        <v>4</v>
      </c>
      <c r="F60" s="11" t="s">
        <v>48</v>
      </c>
      <c r="G60" s="10">
        <v>143485.70000000001</v>
      </c>
      <c r="H60" s="10">
        <v>143577.70000000001</v>
      </c>
      <c r="I60" s="31">
        <f t="shared" si="7"/>
        <v>92</v>
      </c>
      <c r="J60" s="31">
        <v>3.84</v>
      </c>
      <c r="K60" s="11">
        <f t="shared" si="5"/>
        <v>353.28</v>
      </c>
      <c r="L60" s="13">
        <v>0.1</v>
      </c>
      <c r="M60" s="13">
        <f t="shared" si="6"/>
        <v>35.327999999999996</v>
      </c>
      <c r="W60" s="13">
        <v>68.489999999999995</v>
      </c>
      <c r="AE60" s="11" t="s">
        <v>50</v>
      </c>
      <c r="AF60" s="11"/>
    </row>
    <row r="61" spans="2:32">
      <c r="L61" s="14"/>
      <c r="M61" s="14"/>
    </row>
    <row r="62" spans="2:32">
      <c r="L62" s="14"/>
      <c r="M62" s="14"/>
    </row>
    <row r="63" spans="2:32">
      <c r="L63" s="14"/>
      <c r="M63" s="14"/>
    </row>
    <row r="64" spans="2:32">
      <c r="L64" s="14"/>
      <c r="M64" s="14"/>
    </row>
    <row r="65" spans="12:13">
      <c r="L65" s="14"/>
      <c r="M65" s="14"/>
    </row>
    <row r="66" spans="12:13">
      <c r="L66" s="14"/>
      <c r="M66" s="14"/>
    </row>
    <row r="67" spans="12:13">
      <c r="L67" s="14"/>
      <c r="M67" s="14"/>
    </row>
    <row r="68" spans="12:13">
      <c r="L68" s="14"/>
      <c r="M68" s="14"/>
    </row>
    <row r="69" spans="12:13">
      <c r="L69" s="14"/>
      <c r="M69" s="14"/>
    </row>
    <row r="70" spans="12:13">
      <c r="L70" s="14"/>
      <c r="M70" s="14"/>
    </row>
    <row r="71" spans="12:13">
      <c r="L71" s="14"/>
      <c r="M71" s="14"/>
    </row>
    <row r="72" spans="12:13">
      <c r="L72" s="14"/>
      <c r="M72" s="14"/>
    </row>
    <row r="73" spans="12:13">
      <c r="L73" s="14"/>
      <c r="M73" s="14"/>
    </row>
    <row r="74" spans="12:13">
      <c r="L74" s="14"/>
      <c r="M74" s="14"/>
    </row>
    <row r="75" spans="12:13">
      <c r="L75" s="14"/>
      <c r="M75" s="14"/>
    </row>
    <row r="76" spans="12:13">
      <c r="L76" s="14"/>
      <c r="M76" s="14"/>
    </row>
    <row r="77" spans="12:13">
      <c r="L77" s="14"/>
      <c r="M77" s="14"/>
    </row>
    <row r="78" spans="12:13">
      <c r="L78" s="14"/>
      <c r="M78" s="14"/>
    </row>
    <row r="79" spans="12:13">
      <c r="L79" s="14"/>
      <c r="M79" s="14"/>
    </row>
    <row r="80" spans="12:13">
      <c r="L80" s="14"/>
      <c r="M80" s="14"/>
    </row>
    <row r="81" spans="12:13">
      <c r="L81" s="14"/>
      <c r="M81" s="14"/>
    </row>
    <row r="82" spans="12:13">
      <c r="L82" s="14"/>
      <c r="M82" s="14"/>
    </row>
    <row r="83" spans="12:13">
      <c r="L83" s="14"/>
      <c r="M83" s="14"/>
    </row>
    <row r="84" spans="12:13">
      <c r="L84" s="14"/>
      <c r="M84" s="14"/>
    </row>
    <row r="85" spans="12:13">
      <c r="L85" s="14"/>
      <c r="M85" s="14"/>
    </row>
    <row r="86" spans="12:13">
      <c r="L86" s="14"/>
      <c r="M86" s="14"/>
    </row>
    <row r="87" spans="12:13">
      <c r="L87" s="14"/>
      <c r="M87" s="14"/>
    </row>
    <row r="88" spans="12:13">
      <c r="L88" s="14"/>
      <c r="M88" s="14"/>
    </row>
    <row r="89" spans="12:13">
      <c r="L89" s="14"/>
      <c r="M89" s="14"/>
    </row>
    <row r="90" spans="12:13">
      <c r="L90" s="14"/>
      <c r="M90" s="14"/>
    </row>
    <row r="91" spans="12:13">
      <c r="L91" s="14"/>
      <c r="M91" s="14"/>
    </row>
    <row r="92" spans="12:13">
      <c r="L92" s="14"/>
      <c r="M92" s="14"/>
    </row>
    <row r="93" spans="12:13">
      <c r="L93" s="14"/>
      <c r="M93" s="14"/>
    </row>
    <row r="94" spans="12:13">
      <c r="L94" s="14"/>
      <c r="M94" s="14"/>
    </row>
    <row r="95" spans="12:13">
      <c r="L95" s="14"/>
      <c r="M95" s="14"/>
    </row>
    <row r="96" spans="12:13">
      <c r="L96" s="14"/>
      <c r="M96" s="14"/>
    </row>
    <row r="97" spans="12:13">
      <c r="L97" s="14"/>
      <c r="M97" s="14"/>
    </row>
    <row r="98" spans="12:13">
      <c r="L98" s="14"/>
      <c r="M98" s="14"/>
    </row>
    <row r="99" spans="12:13">
      <c r="L99" s="14"/>
      <c r="M99" s="14"/>
    </row>
    <row r="100" spans="12:13">
      <c r="L100" s="14"/>
      <c r="M100" s="14"/>
    </row>
    <row r="101" spans="12:13">
      <c r="L101" s="14"/>
      <c r="M101" s="14"/>
    </row>
    <row r="102" spans="12:13">
      <c r="L102" s="14"/>
      <c r="M102" s="14"/>
    </row>
    <row r="103" spans="12:13">
      <c r="L103" s="14"/>
      <c r="M103" s="14"/>
    </row>
    <row r="104" spans="12:13">
      <c r="L104" s="14"/>
      <c r="M104" s="14"/>
    </row>
    <row r="105" spans="12:13">
      <c r="L105" s="14"/>
      <c r="M105" s="14"/>
    </row>
    <row r="106" spans="12:13">
      <c r="L106" s="14"/>
      <c r="M106" s="14"/>
    </row>
    <row r="107" spans="12:13">
      <c r="L107" s="14"/>
      <c r="M107" s="14"/>
    </row>
    <row r="108" spans="12:13">
      <c r="L108" s="14"/>
      <c r="M108" s="14"/>
    </row>
    <row r="109" spans="12:13">
      <c r="L109" s="14"/>
      <c r="M109" s="14"/>
    </row>
    <row r="110" spans="12:13">
      <c r="L110" s="14"/>
      <c r="M110" s="14"/>
    </row>
    <row r="111" spans="12:13">
      <c r="L111" s="14"/>
      <c r="M111" s="14"/>
    </row>
    <row r="112" spans="12:13">
      <c r="L112" s="14"/>
      <c r="M112" s="14"/>
    </row>
    <row r="113" spans="12:13">
      <c r="L113" s="14"/>
      <c r="M113" s="14"/>
    </row>
    <row r="114" spans="12:13">
      <c r="L114" s="14"/>
      <c r="M114" s="14"/>
    </row>
    <row r="115" spans="12:13">
      <c r="L115" s="14"/>
      <c r="M115" s="14"/>
    </row>
    <row r="116" spans="12:13">
      <c r="L116" s="14"/>
      <c r="M116" s="14"/>
    </row>
    <row r="117" spans="12:13">
      <c r="L117" s="14"/>
      <c r="M117" s="14"/>
    </row>
    <row r="118" spans="12:13">
      <c r="L118" s="14"/>
      <c r="M118" s="14"/>
    </row>
    <row r="119" spans="12:13">
      <c r="L119" s="14"/>
      <c r="M119" s="14"/>
    </row>
    <row r="120" spans="12:13">
      <c r="L120" s="14"/>
      <c r="M120" s="14"/>
    </row>
    <row r="121" spans="12:13">
      <c r="L121" s="14"/>
      <c r="M121" s="14"/>
    </row>
    <row r="122" spans="12:13">
      <c r="L122" s="14"/>
      <c r="M122" s="14"/>
    </row>
    <row r="123" spans="12:13">
      <c r="L123" s="14"/>
      <c r="M123" s="14"/>
    </row>
    <row r="124" spans="12:13">
      <c r="L124" s="14"/>
      <c r="M124" s="14"/>
    </row>
    <row r="125" spans="12:13">
      <c r="L125" s="14"/>
      <c r="M125" s="14"/>
    </row>
    <row r="126" spans="12:13">
      <c r="L126" s="14"/>
      <c r="M126" s="14"/>
    </row>
    <row r="127" spans="12:13">
      <c r="L127" s="14"/>
      <c r="M127" s="14"/>
    </row>
    <row r="128" spans="12:13">
      <c r="L128" s="14"/>
      <c r="M128" s="14"/>
    </row>
    <row r="129" spans="12:13">
      <c r="L129" s="14"/>
      <c r="M129" s="14"/>
    </row>
    <row r="130" spans="12:13">
      <c r="L130" s="14"/>
      <c r="M130" s="14"/>
    </row>
    <row r="131" spans="12:13">
      <c r="L131" s="14"/>
      <c r="M131" s="14"/>
    </row>
    <row r="132" spans="12:13">
      <c r="L132" s="14"/>
      <c r="M132" s="14"/>
    </row>
    <row r="133" spans="12:13">
      <c r="L133" s="14"/>
      <c r="M133" s="14"/>
    </row>
    <row r="134" spans="12:13">
      <c r="L134" s="14"/>
      <c r="M134" s="14"/>
    </row>
    <row r="135" spans="12:13">
      <c r="L135" s="14"/>
      <c r="M135" s="14"/>
    </row>
    <row r="136" spans="12:13">
      <c r="L136" s="14"/>
      <c r="M136" s="14"/>
    </row>
    <row r="137" spans="12:13">
      <c r="L137" s="14"/>
      <c r="M137" s="14"/>
    </row>
    <row r="138" spans="12:13">
      <c r="L138" s="14"/>
      <c r="M138" s="14"/>
    </row>
    <row r="139" spans="12:13">
      <c r="L139" s="14"/>
      <c r="M139" s="14"/>
    </row>
    <row r="140" spans="12:13">
      <c r="L140" s="14"/>
      <c r="M140" s="14"/>
    </row>
    <row r="141" spans="12:13">
      <c r="L141" s="14"/>
      <c r="M141" s="14"/>
    </row>
    <row r="142" spans="12:13">
      <c r="L142" s="14"/>
      <c r="M142" s="14"/>
    </row>
    <row r="143" spans="12:13">
      <c r="L143" s="14"/>
      <c r="M143" s="14"/>
    </row>
    <row r="144" spans="12:13">
      <c r="L144" s="14"/>
      <c r="M144" s="14"/>
    </row>
    <row r="145" spans="12:13">
      <c r="L145" s="14"/>
      <c r="M145" s="14"/>
    </row>
    <row r="146" spans="12:13">
      <c r="L146" s="14"/>
      <c r="M146" s="14"/>
    </row>
    <row r="147" spans="12:13">
      <c r="L147" s="14"/>
      <c r="M147" s="14"/>
    </row>
    <row r="148" spans="12:13">
      <c r="L148" s="14"/>
      <c r="M148" s="14"/>
    </row>
    <row r="149" spans="12:13">
      <c r="L149" s="14"/>
      <c r="M149" s="14"/>
    </row>
    <row r="150" spans="12:13">
      <c r="L150" s="14"/>
      <c r="M150" s="14"/>
    </row>
    <row r="151" spans="12:13">
      <c r="L151" s="14"/>
      <c r="M151" s="14"/>
    </row>
    <row r="152" spans="12:13">
      <c r="L152" s="14"/>
      <c r="M152" s="14"/>
    </row>
    <row r="153" spans="12:13">
      <c r="L153" s="14"/>
      <c r="M153" s="14"/>
    </row>
    <row r="154" spans="12:13">
      <c r="L154" s="14"/>
      <c r="M154" s="14"/>
    </row>
    <row r="155" spans="12:13">
      <c r="L155" s="14"/>
      <c r="M155" s="14"/>
    </row>
    <row r="156" spans="12:13">
      <c r="L156" s="14"/>
      <c r="M156" s="14"/>
    </row>
    <row r="157" spans="12:13">
      <c r="L157" s="14"/>
      <c r="M157" s="14"/>
    </row>
    <row r="158" spans="12:13">
      <c r="L158" s="14"/>
      <c r="M158" s="14"/>
    </row>
    <row r="159" spans="12:13">
      <c r="L159" s="14"/>
      <c r="M159" s="14"/>
    </row>
    <row r="160" spans="12:13">
      <c r="L160" s="14"/>
      <c r="M160" s="14"/>
    </row>
    <row r="161" spans="12:13">
      <c r="L161" s="14"/>
      <c r="M161" s="14"/>
    </row>
    <row r="162" spans="12:13">
      <c r="L162" s="14"/>
      <c r="M162" s="14"/>
    </row>
    <row r="163" spans="12:13">
      <c r="L163" s="14"/>
      <c r="M163" s="14"/>
    </row>
    <row r="164" spans="12:13">
      <c r="L164" s="14"/>
      <c r="M164" s="14"/>
    </row>
    <row r="165" spans="12:13">
      <c r="L165" s="14"/>
      <c r="M165" s="14"/>
    </row>
    <row r="166" spans="12:13">
      <c r="L166" s="14"/>
      <c r="M166" s="14"/>
    </row>
    <row r="167" spans="12:13">
      <c r="L167" s="14"/>
      <c r="M167" s="14"/>
    </row>
    <row r="168" spans="12:13">
      <c r="L168" s="14"/>
      <c r="M168" s="14"/>
    </row>
    <row r="169" spans="12:13">
      <c r="L169" s="14"/>
      <c r="M169" s="14"/>
    </row>
    <row r="170" spans="12:13">
      <c r="L170" s="14"/>
      <c r="M170" s="14"/>
    </row>
    <row r="171" spans="12:13">
      <c r="L171" s="14"/>
      <c r="M171" s="14"/>
    </row>
    <row r="172" spans="12:13">
      <c r="L172" s="14"/>
      <c r="M172" s="14"/>
    </row>
    <row r="173" spans="12:13">
      <c r="L173" s="14"/>
      <c r="M173" s="14"/>
    </row>
    <row r="174" spans="12:13">
      <c r="L174" s="14"/>
      <c r="M174" s="14"/>
    </row>
    <row r="175" spans="12:13">
      <c r="L175" s="14"/>
      <c r="M175" s="14"/>
    </row>
    <row r="176" spans="12:13">
      <c r="L176" s="14"/>
      <c r="M176" s="14"/>
    </row>
    <row r="177" spans="12:13">
      <c r="L177" s="14"/>
      <c r="M177" s="14"/>
    </row>
    <row r="178" spans="12:13">
      <c r="L178" s="14"/>
      <c r="M178" s="14"/>
    </row>
    <row r="179" spans="12:13">
      <c r="L179" s="14"/>
      <c r="M179" s="14"/>
    </row>
    <row r="180" spans="12:13">
      <c r="L180" s="14"/>
      <c r="M180" s="14"/>
    </row>
    <row r="181" spans="12:13">
      <c r="L181" s="14"/>
      <c r="M181" s="14"/>
    </row>
    <row r="182" spans="12:13">
      <c r="L182" s="14"/>
      <c r="M182" s="14"/>
    </row>
    <row r="183" spans="12:13">
      <c r="L183" s="14"/>
      <c r="M183" s="14"/>
    </row>
    <row r="184" spans="12:13">
      <c r="L184" s="14"/>
      <c r="M184" s="14"/>
    </row>
    <row r="185" spans="12:13">
      <c r="L185" s="14"/>
      <c r="M185" s="14"/>
    </row>
    <row r="186" spans="12:13">
      <c r="L186" s="14"/>
      <c r="M186" s="14"/>
    </row>
    <row r="187" spans="12:13">
      <c r="L187" s="14"/>
      <c r="M187" s="14"/>
    </row>
    <row r="188" spans="12:13">
      <c r="L188" s="14"/>
      <c r="M188" s="14"/>
    </row>
    <row r="189" spans="12:13">
      <c r="L189" s="14"/>
      <c r="M189" s="14"/>
    </row>
    <row r="190" spans="12:13">
      <c r="L190" s="14"/>
      <c r="M190" s="14"/>
    </row>
    <row r="191" spans="12:13">
      <c r="L191" s="14"/>
      <c r="M191" s="14"/>
    </row>
    <row r="192" spans="12:13">
      <c r="L192" s="14"/>
      <c r="M192" s="14"/>
    </row>
    <row r="193" spans="12:13">
      <c r="L193" s="14"/>
      <c r="M193" s="14"/>
    </row>
    <row r="194" spans="12:13">
      <c r="L194" s="14"/>
      <c r="M194" s="14"/>
    </row>
    <row r="195" spans="12:13">
      <c r="L195" s="14"/>
      <c r="M195" s="14"/>
    </row>
    <row r="196" spans="12:13">
      <c r="L196" s="14"/>
      <c r="M196" s="14"/>
    </row>
    <row r="197" spans="12:13">
      <c r="L197" s="14"/>
      <c r="M197" s="14"/>
    </row>
    <row r="198" spans="12:13">
      <c r="L198" s="14"/>
      <c r="M198" s="14"/>
    </row>
    <row r="199" spans="12:13">
      <c r="L199" s="14"/>
      <c r="M199" s="14"/>
    </row>
    <row r="200" spans="12:13">
      <c r="L200" s="14"/>
      <c r="M200" s="14"/>
    </row>
    <row r="201" spans="12:13">
      <c r="L201" s="14"/>
      <c r="M201" s="14"/>
    </row>
    <row r="202" spans="12:13">
      <c r="L202" s="14"/>
      <c r="M202" s="14"/>
    </row>
    <row r="203" spans="12:13">
      <c r="L203" s="14"/>
      <c r="M203" s="14"/>
    </row>
    <row r="204" spans="12:13">
      <c r="L204" s="14"/>
      <c r="M204" s="14"/>
    </row>
    <row r="205" spans="12:13">
      <c r="L205" s="14"/>
      <c r="M205" s="14"/>
    </row>
    <row r="206" spans="12:13">
      <c r="L206" s="14"/>
      <c r="M206" s="14"/>
    </row>
    <row r="207" spans="12:13">
      <c r="L207" s="14"/>
      <c r="M207" s="14"/>
    </row>
    <row r="208" spans="12:13">
      <c r="L208" s="14"/>
      <c r="M208" s="14"/>
    </row>
    <row r="209" spans="12:13">
      <c r="L209" s="14"/>
      <c r="M209" s="14"/>
    </row>
    <row r="210" spans="12:13">
      <c r="L210" s="14"/>
      <c r="M210" s="14"/>
    </row>
    <row r="211" spans="12:13">
      <c r="L211" s="14"/>
      <c r="M211" s="14"/>
    </row>
    <row r="212" spans="12:13">
      <c r="L212" s="14"/>
      <c r="M212" s="14"/>
    </row>
    <row r="213" spans="12:13">
      <c r="L213" s="14"/>
      <c r="M213" s="14"/>
    </row>
    <row r="214" spans="12:13">
      <c r="L214" s="14"/>
      <c r="M214" s="14"/>
    </row>
    <row r="215" spans="12:13">
      <c r="L215" s="14"/>
      <c r="M215" s="14"/>
    </row>
    <row r="216" spans="12:13">
      <c r="L216" s="14"/>
      <c r="M216" s="14"/>
    </row>
    <row r="217" spans="12:13">
      <c r="L217" s="14"/>
      <c r="M217" s="14"/>
    </row>
    <row r="218" spans="12:13">
      <c r="L218" s="14"/>
      <c r="M218" s="14"/>
    </row>
    <row r="219" spans="12:13">
      <c r="L219" s="14"/>
      <c r="M219" s="14"/>
    </row>
    <row r="220" spans="12:13">
      <c r="L220" s="14"/>
      <c r="M220" s="14"/>
    </row>
    <row r="221" spans="12:13">
      <c r="L221" s="14"/>
      <c r="M221" s="14"/>
    </row>
    <row r="222" spans="12:13">
      <c r="L222" s="14"/>
      <c r="M222" s="14"/>
    </row>
    <row r="223" spans="12:13">
      <c r="L223" s="14"/>
      <c r="M223" s="14"/>
    </row>
    <row r="224" spans="12:13">
      <c r="L224" s="14"/>
      <c r="M224" s="14"/>
    </row>
    <row r="225" spans="12:13">
      <c r="L225" s="14"/>
      <c r="M225" s="14"/>
    </row>
    <row r="226" spans="12:13">
      <c r="L226" s="14"/>
      <c r="M226" s="14"/>
    </row>
    <row r="227" spans="12:13">
      <c r="L227" s="14"/>
      <c r="M227" s="14"/>
    </row>
    <row r="228" spans="12:13">
      <c r="L228" s="14"/>
      <c r="M228" s="14"/>
    </row>
    <row r="229" spans="12:13">
      <c r="L229" s="14"/>
      <c r="M229" s="14"/>
    </row>
    <row r="230" spans="12:13">
      <c r="L230" s="14"/>
      <c r="M230" s="14"/>
    </row>
    <row r="231" spans="12:13">
      <c r="L231" s="14"/>
      <c r="M231" s="14"/>
    </row>
    <row r="232" spans="12:13">
      <c r="L232" s="14"/>
      <c r="M232" s="14"/>
    </row>
    <row r="233" spans="12:13">
      <c r="L233" s="14"/>
      <c r="M233" s="14"/>
    </row>
    <row r="234" spans="12:13">
      <c r="L234" s="14"/>
      <c r="M234" s="14"/>
    </row>
    <row r="235" spans="12:13">
      <c r="L235" s="14"/>
      <c r="M235" s="14"/>
    </row>
    <row r="236" spans="12:13">
      <c r="L236" s="14"/>
      <c r="M236" s="14"/>
    </row>
    <row r="237" spans="12:13">
      <c r="L237" s="14"/>
      <c r="M237" s="14"/>
    </row>
    <row r="238" spans="12:13">
      <c r="L238" s="14"/>
      <c r="M238" s="14"/>
    </row>
    <row r="239" spans="12:13">
      <c r="L239" s="14"/>
      <c r="M239" s="14"/>
    </row>
    <row r="240" spans="12:13">
      <c r="L240" s="14"/>
      <c r="M240" s="14"/>
    </row>
    <row r="241" spans="12:13">
      <c r="L241" s="14"/>
      <c r="M241" s="14"/>
    </row>
    <row r="242" spans="12:13">
      <c r="L242" s="14"/>
      <c r="M242" s="14"/>
    </row>
    <row r="243" spans="12:13">
      <c r="L243" s="14"/>
      <c r="M243" s="14"/>
    </row>
    <row r="244" spans="12:13">
      <c r="L244" s="14"/>
      <c r="M244" s="14"/>
    </row>
    <row r="245" spans="12:13">
      <c r="L245" s="14"/>
      <c r="M245" s="14"/>
    </row>
    <row r="246" spans="12:13">
      <c r="L246" s="14"/>
      <c r="M246" s="14"/>
    </row>
    <row r="247" spans="12:13">
      <c r="L247" s="14"/>
      <c r="M247" s="14"/>
    </row>
    <row r="248" spans="12:13">
      <c r="L248" s="14"/>
      <c r="M248" s="14"/>
    </row>
    <row r="249" spans="12:13">
      <c r="L249" s="14"/>
      <c r="M249" s="14"/>
    </row>
    <row r="250" spans="12:13">
      <c r="L250" s="14"/>
      <c r="M250" s="14"/>
    </row>
    <row r="251" spans="12:13">
      <c r="L251" s="14"/>
      <c r="M251" s="14"/>
    </row>
    <row r="252" spans="12:13">
      <c r="L252" s="14"/>
      <c r="M252" s="14"/>
    </row>
    <row r="253" spans="12:13">
      <c r="L253" s="14"/>
      <c r="M253" s="14"/>
    </row>
    <row r="254" spans="12:13">
      <c r="L254" s="14"/>
      <c r="M254" s="14"/>
    </row>
    <row r="255" spans="12:13">
      <c r="L255" s="14"/>
      <c r="M255" s="14"/>
    </row>
    <row r="256" spans="12:13">
      <c r="L256" s="14"/>
      <c r="M256" s="14"/>
    </row>
    <row r="257" spans="12:13">
      <c r="L257" s="14"/>
      <c r="M257" s="14"/>
    </row>
    <row r="258" spans="12:13">
      <c r="L258" s="14"/>
      <c r="M258" s="14"/>
    </row>
    <row r="259" spans="12:13">
      <c r="L259" s="14"/>
      <c r="M259" s="14"/>
    </row>
    <row r="260" spans="12:13">
      <c r="L260" s="14"/>
      <c r="M260" s="14"/>
    </row>
    <row r="261" spans="12:13">
      <c r="L261" s="14"/>
      <c r="M261" s="14"/>
    </row>
    <row r="262" spans="12:13">
      <c r="L262" s="14"/>
      <c r="M262" s="14"/>
    </row>
    <row r="263" spans="12:13">
      <c r="L263" s="14"/>
      <c r="M263" s="14"/>
    </row>
    <row r="264" spans="12:13">
      <c r="L264" s="14"/>
      <c r="M264" s="14"/>
    </row>
    <row r="265" spans="12:13">
      <c r="L265" s="14"/>
      <c r="M265" s="14"/>
    </row>
    <row r="266" spans="12:13">
      <c r="L266" s="14"/>
      <c r="M266" s="14"/>
    </row>
    <row r="267" spans="12:13">
      <c r="L267" s="14"/>
      <c r="M267" s="14"/>
    </row>
    <row r="268" spans="12:13">
      <c r="L268" s="14"/>
      <c r="M268" s="14"/>
    </row>
    <row r="269" spans="12:13">
      <c r="L269" s="14"/>
      <c r="M269" s="14"/>
    </row>
    <row r="270" spans="12:13">
      <c r="L270" s="14"/>
      <c r="M270" s="14"/>
    </row>
    <row r="271" spans="12:13">
      <c r="L271" s="14"/>
      <c r="M271" s="14"/>
    </row>
    <row r="272" spans="12:13">
      <c r="L272" s="14"/>
      <c r="M272" s="14"/>
    </row>
    <row r="273" spans="12:13">
      <c r="L273" s="14"/>
      <c r="M273" s="14"/>
    </row>
    <row r="274" spans="12:13">
      <c r="L274" s="14"/>
      <c r="M274" s="14"/>
    </row>
    <row r="275" spans="12:13">
      <c r="L275" s="14"/>
      <c r="M275" s="14"/>
    </row>
    <row r="276" spans="12:13">
      <c r="L276" s="14"/>
      <c r="M276" s="14"/>
    </row>
    <row r="277" spans="12:13">
      <c r="L277" s="14"/>
      <c r="M277" s="14"/>
    </row>
    <row r="278" spans="12:13">
      <c r="L278" s="14"/>
      <c r="M278" s="14"/>
    </row>
    <row r="279" spans="12:13">
      <c r="L279" s="14"/>
      <c r="M279" s="14"/>
    </row>
    <row r="280" spans="12:13">
      <c r="L280" s="14"/>
      <c r="M280" s="14"/>
    </row>
    <row r="281" spans="12:13">
      <c r="L281" s="14"/>
      <c r="M281" s="14"/>
    </row>
    <row r="282" spans="12:13">
      <c r="L282" s="14"/>
      <c r="M282" s="14"/>
    </row>
    <row r="283" spans="12:13">
      <c r="L283" s="14"/>
      <c r="M283" s="14"/>
    </row>
    <row r="284" spans="12:13">
      <c r="L284" s="14"/>
      <c r="M284" s="14"/>
    </row>
    <row r="285" spans="12:13">
      <c r="L285" s="14"/>
      <c r="M285" s="14"/>
    </row>
    <row r="286" spans="12:13">
      <c r="L286" s="14"/>
      <c r="M286" s="14"/>
    </row>
    <row r="287" spans="12:13">
      <c r="L287" s="14"/>
      <c r="M287" s="14"/>
    </row>
    <row r="288" spans="12:13">
      <c r="L288" s="14"/>
      <c r="M288" s="14"/>
    </row>
    <row r="289" spans="12:13">
      <c r="L289" s="14"/>
      <c r="M289" s="14"/>
    </row>
    <row r="290" spans="12:13">
      <c r="L290" s="14"/>
      <c r="M290" s="14"/>
    </row>
    <row r="291" spans="12:13">
      <c r="L291" s="14"/>
      <c r="M291" s="14"/>
    </row>
    <row r="292" spans="12:13">
      <c r="L292" s="14"/>
      <c r="M292" s="14"/>
    </row>
    <row r="293" spans="12:13">
      <c r="L293" s="14"/>
      <c r="M293" s="14"/>
    </row>
    <row r="294" spans="12:13">
      <c r="L294" s="14"/>
      <c r="M294" s="14"/>
    </row>
    <row r="295" spans="12:13">
      <c r="L295" s="14"/>
      <c r="M295" s="14"/>
    </row>
    <row r="296" spans="12:13">
      <c r="L296" s="14"/>
      <c r="M296" s="14"/>
    </row>
    <row r="297" spans="12:13">
      <c r="L297" s="14"/>
      <c r="M297" s="14"/>
    </row>
    <row r="298" spans="12:13">
      <c r="L298" s="14"/>
      <c r="M298" s="14"/>
    </row>
    <row r="299" spans="12:13">
      <c r="L299" s="14"/>
      <c r="M299" s="14"/>
    </row>
    <row r="300" spans="12:13">
      <c r="L300" s="14"/>
      <c r="M300" s="14"/>
    </row>
    <row r="301" spans="12:13">
      <c r="L301" s="14"/>
      <c r="M301" s="14"/>
    </row>
    <row r="302" spans="12:13">
      <c r="L302" s="14"/>
      <c r="M302" s="14"/>
    </row>
    <row r="303" spans="12:13">
      <c r="L303" s="14"/>
      <c r="M303" s="14"/>
    </row>
    <row r="304" spans="12:13">
      <c r="L304" s="14"/>
      <c r="M304" s="14"/>
    </row>
    <row r="305" spans="12:13">
      <c r="L305" s="14"/>
      <c r="M305" s="14"/>
    </row>
    <row r="306" spans="12:13">
      <c r="L306" s="14"/>
      <c r="M306" s="14"/>
    </row>
    <row r="307" spans="12:13">
      <c r="L307" s="14"/>
      <c r="M307" s="14"/>
    </row>
    <row r="308" spans="12:13">
      <c r="L308" s="14"/>
      <c r="M308" s="14"/>
    </row>
    <row r="309" spans="12:13">
      <c r="L309" s="14"/>
      <c r="M309" s="14"/>
    </row>
    <row r="310" spans="12:13">
      <c r="L310" s="14"/>
      <c r="M310" s="14"/>
    </row>
    <row r="311" spans="12:13">
      <c r="L311" s="14"/>
      <c r="M311" s="14"/>
    </row>
    <row r="312" spans="12:13">
      <c r="L312" s="14"/>
      <c r="M312" s="14"/>
    </row>
    <row r="313" spans="12:13">
      <c r="L313" s="14"/>
      <c r="M313" s="14"/>
    </row>
    <row r="314" spans="12:13">
      <c r="L314" s="14"/>
      <c r="M314" s="14"/>
    </row>
    <row r="315" spans="12:13">
      <c r="L315" s="14"/>
      <c r="M315" s="14"/>
    </row>
    <row r="316" spans="12:13">
      <c r="L316" s="14"/>
      <c r="M316" s="14"/>
    </row>
    <row r="317" spans="12:13">
      <c r="L317" s="14"/>
      <c r="M317" s="14"/>
    </row>
    <row r="318" spans="12:13">
      <c r="L318" s="14"/>
      <c r="M318" s="14"/>
    </row>
    <row r="319" spans="12:13">
      <c r="L319" s="14"/>
      <c r="M319" s="14"/>
    </row>
    <row r="320" spans="12:13">
      <c r="L320" s="14"/>
      <c r="M320" s="14"/>
    </row>
    <row r="321" spans="12:13">
      <c r="L321" s="14"/>
      <c r="M321" s="14"/>
    </row>
    <row r="322" spans="12:13">
      <c r="L322" s="14"/>
      <c r="M322" s="14"/>
    </row>
    <row r="323" spans="12:13">
      <c r="L323" s="14"/>
      <c r="M323" s="14"/>
    </row>
    <row r="324" spans="12:13">
      <c r="L324" s="14"/>
      <c r="M324" s="14"/>
    </row>
    <row r="325" spans="12:13">
      <c r="L325" s="14"/>
      <c r="M325" s="14"/>
    </row>
    <row r="326" spans="12:13">
      <c r="L326" s="14"/>
      <c r="M326" s="14"/>
    </row>
    <row r="327" spans="12:13">
      <c r="L327" s="14"/>
      <c r="M327" s="14"/>
    </row>
    <row r="328" spans="12:13">
      <c r="L328" s="14"/>
      <c r="M328" s="14"/>
    </row>
    <row r="329" spans="12:13">
      <c r="L329" s="14"/>
      <c r="M329" s="14"/>
    </row>
    <row r="330" spans="12:13">
      <c r="L330" s="14"/>
      <c r="M330" s="14"/>
    </row>
    <row r="331" spans="12:13">
      <c r="L331" s="14"/>
      <c r="M331" s="14"/>
    </row>
    <row r="332" spans="12:13">
      <c r="L332" s="14"/>
      <c r="M332" s="14"/>
    </row>
    <row r="333" spans="12:13">
      <c r="L333" s="14"/>
      <c r="M333" s="14"/>
    </row>
    <row r="334" spans="12:13">
      <c r="L334" s="14"/>
      <c r="M334" s="14"/>
    </row>
    <row r="335" spans="12:13">
      <c r="L335" s="14"/>
      <c r="M335" s="14"/>
    </row>
    <row r="336" spans="12:13">
      <c r="L336" s="14"/>
      <c r="M336" s="14"/>
    </row>
    <row r="337" spans="12:13">
      <c r="L337" s="14"/>
      <c r="M337" s="14"/>
    </row>
    <row r="338" spans="12:13">
      <c r="L338" s="14"/>
      <c r="M338" s="14"/>
    </row>
    <row r="339" spans="12:13">
      <c r="L339" s="14"/>
      <c r="M339" s="14"/>
    </row>
    <row r="340" spans="12:13">
      <c r="L340" s="14"/>
      <c r="M340" s="14"/>
    </row>
    <row r="341" spans="12:13">
      <c r="L341" s="14"/>
      <c r="M341" s="14"/>
    </row>
    <row r="342" spans="12:13">
      <c r="L342" s="14"/>
      <c r="M342" s="14"/>
    </row>
    <row r="343" spans="12:13">
      <c r="L343" s="14"/>
      <c r="M343" s="14"/>
    </row>
    <row r="344" spans="12:13">
      <c r="L344" s="14"/>
      <c r="M344" s="14"/>
    </row>
    <row r="345" spans="12:13">
      <c r="L345" s="14"/>
      <c r="M345" s="14"/>
    </row>
    <row r="346" spans="12:13">
      <c r="L346" s="14"/>
      <c r="M346" s="14"/>
    </row>
    <row r="347" spans="12:13">
      <c r="L347" s="14"/>
      <c r="M347" s="14"/>
    </row>
    <row r="348" spans="12:13">
      <c r="L348" s="14"/>
      <c r="M348" s="14"/>
    </row>
    <row r="349" spans="12:13">
      <c r="L349" s="14"/>
      <c r="M349" s="14"/>
    </row>
    <row r="350" spans="12:13">
      <c r="L350" s="14"/>
      <c r="M350" s="14"/>
    </row>
    <row r="351" spans="12:13">
      <c r="L351" s="14"/>
      <c r="M351" s="14"/>
    </row>
    <row r="352" spans="12:13">
      <c r="L352" s="14"/>
      <c r="M352" s="14"/>
    </row>
    <row r="353" spans="12:13">
      <c r="L353" s="14"/>
      <c r="M353" s="14"/>
    </row>
    <row r="354" spans="12:13">
      <c r="L354" s="14"/>
      <c r="M354" s="14"/>
    </row>
    <row r="355" spans="12:13">
      <c r="L355" s="14"/>
      <c r="M355" s="14"/>
    </row>
    <row r="356" spans="12:13">
      <c r="L356" s="14"/>
      <c r="M356" s="14"/>
    </row>
    <row r="357" spans="12:13">
      <c r="L357" s="14"/>
      <c r="M357" s="14"/>
    </row>
    <row r="358" spans="12:13">
      <c r="L358" s="14"/>
      <c r="M358" s="14"/>
    </row>
    <row r="359" spans="12:13">
      <c r="L359" s="14"/>
      <c r="M359" s="14"/>
    </row>
    <row r="360" spans="12:13">
      <c r="L360" s="14"/>
      <c r="M360" s="14"/>
    </row>
    <row r="361" spans="12:13">
      <c r="L361" s="14"/>
      <c r="M361" s="14"/>
    </row>
    <row r="362" spans="12:13">
      <c r="L362" s="14"/>
      <c r="M362" s="14"/>
    </row>
    <row r="363" spans="12:13">
      <c r="L363" s="14"/>
      <c r="M363" s="14"/>
    </row>
    <row r="364" spans="12:13">
      <c r="L364" s="14"/>
      <c r="M364" s="14"/>
    </row>
    <row r="365" spans="12:13">
      <c r="L365" s="14"/>
      <c r="M365" s="14"/>
    </row>
    <row r="366" spans="12:13">
      <c r="L366" s="14"/>
      <c r="M366" s="14"/>
    </row>
    <row r="367" spans="12:13">
      <c r="L367" s="14"/>
      <c r="M367" s="14"/>
    </row>
    <row r="368" spans="12:13">
      <c r="L368" s="14"/>
      <c r="M368" s="14"/>
    </row>
    <row r="369" spans="12:13">
      <c r="L369" s="14"/>
      <c r="M369" s="14"/>
    </row>
    <row r="370" spans="12:13">
      <c r="L370" s="14"/>
      <c r="M370" s="14"/>
    </row>
    <row r="371" spans="12:13">
      <c r="L371" s="14"/>
      <c r="M371" s="14"/>
    </row>
    <row r="372" spans="12:13">
      <c r="L372" s="14"/>
      <c r="M372" s="14"/>
    </row>
    <row r="373" spans="12:13">
      <c r="L373" s="14"/>
      <c r="M373" s="14"/>
    </row>
    <row r="374" spans="12:13">
      <c r="L374" s="14"/>
      <c r="M374" s="14"/>
    </row>
    <row r="375" spans="12:13">
      <c r="L375" s="14"/>
      <c r="M375" s="14"/>
    </row>
    <row r="376" spans="12:13">
      <c r="L376" s="14"/>
      <c r="M376" s="14"/>
    </row>
    <row r="377" spans="12:13">
      <c r="L377" s="14"/>
      <c r="M377" s="14"/>
    </row>
    <row r="378" spans="12:13">
      <c r="L378" s="14"/>
      <c r="M378" s="14"/>
    </row>
    <row r="379" spans="12:13">
      <c r="L379" s="14"/>
      <c r="M379" s="14"/>
    </row>
    <row r="380" spans="12:13">
      <c r="L380" s="14"/>
      <c r="M380" s="14"/>
    </row>
    <row r="381" spans="12:13">
      <c r="L381" s="14"/>
      <c r="M381" s="14"/>
    </row>
    <row r="382" spans="12:13">
      <c r="L382" s="14"/>
      <c r="M382" s="14"/>
    </row>
    <row r="383" spans="12:13">
      <c r="L383" s="14"/>
      <c r="M383" s="14"/>
    </row>
    <row r="384" spans="12:13">
      <c r="L384" s="14"/>
      <c r="M384" s="14"/>
    </row>
    <row r="385" spans="12:13">
      <c r="L385" s="14"/>
      <c r="M385" s="14"/>
    </row>
    <row r="386" spans="12:13">
      <c r="L386" s="14"/>
      <c r="M386" s="14"/>
    </row>
    <row r="387" spans="12:13">
      <c r="L387" s="14"/>
      <c r="M387" s="14"/>
    </row>
    <row r="388" spans="12:13">
      <c r="L388" s="14"/>
      <c r="M388" s="14"/>
    </row>
    <row r="389" spans="12:13">
      <c r="L389" s="14"/>
      <c r="M389" s="14"/>
    </row>
    <row r="390" spans="12:13">
      <c r="L390" s="14"/>
      <c r="M390" s="14"/>
    </row>
    <row r="391" spans="12:13">
      <c r="L391" s="14"/>
      <c r="M391" s="14"/>
    </row>
    <row r="392" spans="12:13">
      <c r="L392" s="14"/>
      <c r="M392" s="14"/>
    </row>
    <row r="393" spans="12:13">
      <c r="L393" s="14"/>
      <c r="M393" s="14"/>
    </row>
    <row r="394" spans="12:13">
      <c r="L394" s="14"/>
      <c r="M394" s="14"/>
    </row>
    <row r="395" spans="12:13">
      <c r="L395" s="14"/>
      <c r="M395" s="14"/>
    </row>
    <row r="396" spans="12:13">
      <c r="L396" s="14"/>
      <c r="M396" s="14"/>
    </row>
    <row r="397" spans="12:13">
      <c r="L397" s="14"/>
    </row>
    <row r="398" spans="12:13">
      <c r="L398" s="14"/>
    </row>
    <row r="399" spans="12:13">
      <c r="L399" s="14"/>
    </row>
    <row r="400" spans="12:13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</sheetData>
  <mergeCells count="8">
    <mergeCell ref="W31:W40"/>
    <mergeCell ref="W41:W48"/>
    <mergeCell ref="W49:W58"/>
    <mergeCell ref="B2:AF2"/>
    <mergeCell ref="W4:W14"/>
    <mergeCell ref="W15:W18"/>
    <mergeCell ref="W19:W27"/>
    <mergeCell ref="W28:W2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K57"/>
  <sheetViews>
    <sheetView topLeftCell="A14" workbookViewId="0">
      <selection activeCell="D6" sqref="D6"/>
    </sheetView>
  </sheetViews>
  <sheetFormatPr baseColWidth="10" defaultRowHeight="15"/>
  <cols>
    <col min="3" max="3" width="13.7109375" bestFit="1" customWidth="1"/>
    <col min="15" max="15" width="3.140625" bestFit="1" customWidth="1"/>
    <col min="16" max="16" width="3.7109375" bestFit="1" customWidth="1"/>
    <col min="17" max="17" width="3.42578125" bestFit="1" customWidth="1"/>
    <col min="18" max="18" width="4" bestFit="1" customWidth="1"/>
    <col min="19" max="19" width="3.140625" bestFit="1" customWidth="1"/>
    <col min="20" max="20" width="3.7109375" bestFit="1" customWidth="1"/>
    <col min="21" max="21" width="4.5703125" customWidth="1"/>
    <col min="22" max="22" width="3.140625" bestFit="1" customWidth="1"/>
    <col min="23" max="23" width="3.7109375" bestFit="1" customWidth="1"/>
    <col min="24" max="24" width="3.5703125" bestFit="1" customWidth="1"/>
    <col min="25" max="25" width="3.140625" bestFit="1" customWidth="1"/>
    <col min="26" max="26" width="3" bestFit="1" customWidth="1"/>
    <col min="27" max="27" width="3.42578125" bestFit="1" customWidth="1"/>
    <col min="28" max="28" width="4" bestFit="1" customWidth="1"/>
    <col min="29" max="29" width="3.140625" bestFit="1" customWidth="1"/>
    <col min="30" max="30" width="3.7109375" bestFit="1" customWidth="1"/>
    <col min="31" max="31" width="3.5703125" bestFit="1" customWidth="1"/>
    <col min="32" max="32" width="3.140625" bestFit="1" customWidth="1"/>
    <col min="33" max="33" width="3" bestFit="1" customWidth="1"/>
    <col min="34" max="34" width="3.42578125" bestFit="1" customWidth="1"/>
    <col min="35" max="35" width="4" bestFit="1" customWidth="1"/>
    <col min="36" max="36" width="3.140625" bestFit="1" customWidth="1"/>
    <col min="37" max="37" width="3.7109375" bestFit="1" customWidth="1"/>
    <col min="38" max="38" width="3.5703125" bestFit="1" customWidth="1"/>
    <col min="39" max="39" width="3.140625" bestFit="1" customWidth="1"/>
    <col min="40" max="40" width="3" bestFit="1" customWidth="1"/>
    <col min="41" max="41" width="3.42578125" bestFit="1" customWidth="1"/>
    <col min="42" max="42" width="4" bestFit="1" customWidth="1"/>
    <col min="43" max="43" width="3.140625" bestFit="1" customWidth="1"/>
    <col min="44" max="44" width="3.7109375" bestFit="1" customWidth="1"/>
    <col min="45" max="45" width="3.5703125" bestFit="1" customWidth="1"/>
    <col min="46" max="46" width="3.140625" bestFit="1" customWidth="1"/>
    <col min="47" max="47" width="3" bestFit="1" customWidth="1"/>
    <col min="48" max="48" width="3.42578125" bestFit="1" customWidth="1"/>
    <col min="49" max="49" width="4" bestFit="1" customWidth="1"/>
    <col min="50" max="50" width="3.140625" bestFit="1" customWidth="1"/>
    <col min="51" max="51" width="3.7109375" bestFit="1" customWidth="1"/>
    <col min="52" max="52" width="3.5703125" bestFit="1" customWidth="1"/>
    <col min="53" max="53" width="3.140625" bestFit="1" customWidth="1"/>
    <col min="54" max="54" width="3" bestFit="1" customWidth="1"/>
    <col min="55" max="55" width="3.42578125" bestFit="1" customWidth="1"/>
    <col min="56" max="56" width="4" bestFit="1" customWidth="1"/>
    <col min="57" max="57" width="3.140625" bestFit="1" customWidth="1"/>
    <col min="58" max="58" width="3.7109375" bestFit="1" customWidth="1"/>
    <col min="59" max="59" width="3.5703125" bestFit="1" customWidth="1"/>
    <col min="60" max="60" width="3.140625" bestFit="1" customWidth="1"/>
    <col min="61" max="61" width="3" bestFit="1" customWidth="1"/>
    <col min="62" max="62" width="3.42578125" bestFit="1" customWidth="1"/>
    <col min="63" max="63" width="4" bestFit="1" customWidth="1"/>
    <col min="64" max="64" width="3.140625" bestFit="1" customWidth="1"/>
    <col min="65" max="65" width="3.7109375" bestFit="1" customWidth="1"/>
    <col min="66" max="66" width="3.5703125" bestFit="1" customWidth="1"/>
    <col min="67" max="67" width="3.140625" bestFit="1" customWidth="1"/>
    <col min="68" max="68" width="3" bestFit="1" customWidth="1"/>
    <col min="69" max="69" width="3.42578125" bestFit="1" customWidth="1"/>
    <col min="70" max="70" width="4" bestFit="1" customWidth="1"/>
    <col min="71" max="71" width="3.140625" bestFit="1" customWidth="1"/>
    <col min="72" max="72" width="3.7109375" bestFit="1" customWidth="1"/>
    <col min="73" max="73" width="3.5703125" bestFit="1" customWidth="1"/>
    <col min="74" max="74" width="3.140625" bestFit="1" customWidth="1"/>
    <col min="75" max="75" width="3" bestFit="1" customWidth="1"/>
    <col min="76" max="76" width="3.42578125" bestFit="1" customWidth="1"/>
    <col min="77" max="77" width="4" bestFit="1" customWidth="1"/>
    <col min="78" max="78" width="3.140625" bestFit="1" customWidth="1"/>
    <col min="79" max="79" width="3.7109375" bestFit="1" customWidth="1"/>
    <col min="80" max="80" width="3.5703125" bestFit="1" customWidth="1"/>
    <col min="81" max="81" width="3.140625" bestFit="1" customWidth="1"/>
    <col min="82" max="82" width="3" bestFit="1" customWidth="1"/>
    <col min="83" max="83" width="3.42578125" bestFit="1" customWidth="1"/>
    <col min="84" max="84" width="4" bestFit="1" customWidth="1"/>
    <col min="85" max="85" width="3.140625" bestFit="1" customWidth="1"/>
    <col min="86" max="86" width="3.7109375" bestFit="1" customWidth="1"/>
    <col min="87" max="87" width="3.5703125" bestFit="1" customWidth="1"/>
    <col min="88" max="88" width="3.140625" bestFit="1" customWidth="1"/>
    <col min="89" max="89" width="3" bestFit="1" customWidth="1"/>
    <col min="90" max="90" width="3.42578125" bestFit="1" customWidth="1"/>
    <col min="91" max="91" width="4" bestFit="1" customWidth="1"/>
    <col min="92" max="92" width="3.140625" bestFit="1" customWidth="1"/>
    <col min="93" max="93" width="3.7109375" bestFit="1" customWidth="1"/>
    <col min="94" max="94" width="3.5703125" bestFit="1" customWidth="1"/>
    <col min="95" max="95" width="3.140625" bestFit="1" customWidth="1"/>
    <col min="96" max="96" width="3" bestFit="1" customWidth="1"/>
    <col min="97" max="97" width="3.42578125" bestFit="1" customWidth="1"/>
    <col min="98" max="98" width="4" bestFit="1" customWidth="1"/>
    <col min="99" max="99" width="3.140625" bestFit="1" customWidth="1"/>
    <col min="100" max="100" width="3.7109375" bestFit="1" customWidth="1"/>
    <col min="101" max="101" width="3.5703125" bestFit="1" customWidth="1"/>
    <col min="102" max="102" width="3.140625" bestFit="1" customWidth="1"/>
    <col min="103" max="103" width="3" bestFit="1" customWidth="1"/>
    <col min="104" max="104" width="3.42578125" bestFit="1" customWidth="1"/>
    <col min="105" max="105" width="4" bestFit="1" customWidth="1"/>
    <col min="106" max="106" width="3.140625" bestFit="1" customWidth="1"/>
    <col min="107" max="107" width="3.7109375" bestFit="1" customWidth="1"/>
    <col min="108" max="108" width="3.5703125" bestFit="1" customWidth="1"/>
    <col min="109" max="109" width="3.140625" bestFit="1" customWidth="1"/>
    <col min="110" max="110" width="3" bestFit="1" customWidth="1"/>
    <col min="111" max="111" width="3.42578125" bestFit="1" customWidth="1"/>
    <col min="112" max="112" width="4" bestFit="1" customWidth="1"/>
    <col min="113" max="113" width="3.140625" bestFit="1" customWidth="1"/>
    <col min="114" max="114" width="3.7109375" bestFit="1" customWidth="1"/>
    <col min="115" max="115" width="3.5703125" bestFit="1" customWidth="1"/>
    <col min="116" max="116" width="3.140625" bestFit="1" customWidth="1"/>
    <col min="117" max="117" width="3" bestFit="1" customWidth="1"/>
    <col min="118" max="118" width="3.42578125" bestFit="1" customWidth="1"/>
    <col min="119" max="119" width="4" bestFit="1" customWidth="1"/>
    <col min="120" max="120" width="3.140625" bestFit="1" customWidth="1"/>
    <col min="121" max="121" width="3.7109375" bestFit="1" customWidth="1"/>
    <col min="122" max="122" width="3.5703125" bestFit="1" customWidth="1"/>
    <col min="123" max="123" width="3.140625" bestFit="1" customWidth="1"/>
    <col min="124" max="124" width="3" bestFit="1" customWidth="1"/>
    <col min="125" max="125" width="3.42578125" bestFit="1" customWidth="1"/>
    <col min="126" max="126" width="4" bestFit="1" customWidth="1"/>
    <col min="127" max="127" width="3.140625" bestFit="1" customWidth="1"/>
    <col min="128" max="128" width="3.7109375" bestFit="1" customWidth="1"/>
    <col min="129" max="129" width="3.5703125" bestFit="1" customWidth="1"/>
    <col min="130" max="130" width="3.140625" bestFit="1" customWidth="1"/>
    <col min="131" max="131" width="3" bestFit="1" customWidth="1"/>
    <col min="132" max="132" width="3.42578125" bestFit="1" customWidth="1"/>
    <col min="133" max="133" width="4" bestFit="1" customWidth="1"/>
    <col min="134" max="134" width="3.140625" bestFit="1" customWidth="1"/>
    <col min="135" max="135" width="3.7109375" bestFit="1" customWidth="1"/>
    <col min="136" max="136" width="3.5703125" bestFit="1" customWidth="1"/>
    <col min="137" max="137" width="3.140625" bestFit="1" customWidth="1"/>
    <col min="138" max="138" width="3" bestFit="1" customWidth="1"/>
    <col min="139" max="139" width="3.42578125" bestFit="1" customWidth="1"/>
    <col min="140" max="140" width="4" bestFit="1" customWidth="1"/>
    <col min="141" max="141" width="3.140625" bestFit="1" customWidth="1"/>
    <col min="142" max="142" width="3.7109375" bestFit="1" customWidth="1"/>
    <col min="143" max="143" width="3.5703125" bestFit="1" customWidth="1"/>
    <col min="144" max="144" width="3.140625" bestFit="1" customWidth="1"/>
    <col min="145" max="145" width="3" bestFit="1" customWidth="1"/>
    <col min="146" max="146" width="3.42578125" bestFit="1" customWidth="1"/>
    <col min="147" max="147" width="4" bestFit="1" customWidth="1"/>
    <col min="148" max="148" width="3.140625" bestFit="1" customWidth="1"/>
    <col min="149" max="149" width="3.7109375" bestFit="1" customWidth="1"/>
    <col min="150" max="150" width="3.5703125" bestFit="1" customWidth="1"/>
    <col min="151" max="151" width="3.140625" bestFit="1" customWidth="1"/>
    <col min="152" max="152" width="3" bestFit="1" customWidth="1"/>
    <col min="153" max="153" width="3.42578125" bestFit="1" customWidth="1"/>
    <col min="154" max="154" width="4" bestFit="1" customWidth="1"/>
    <col min="155" max="155" width="3.140625" bestFit="1" customWidth="1"/>
    <col min="156" max="156" width="3.7109375" bestFit="1" customWidth="1"/>
    <col min="157" max="157" width="3.5703125" bestFit="1" customWidth="1"/>
    <col min="158" max="158" width="3.140625" bestFit="1" customWidth="1"/>
    <col min="159" max="159" width="3" bestFit="1" customWidth="1"/>
    <col min="160" max="160" width="3.42578125" bestFit="1" customWidth="1"/>
    <col min="161" max="161" width="4" bestFit="1" customWidth="1"/>
    <col min="162" max="162" width="3.140625" bestFit="1" customWidth="1"/>
    <col min="163" max="163" width="3.7109375" bestFit="1" customWidth="1"/>
    <col min="164" max="164" width="3.5703125" bestFit="1" customWidth="1"/>
    <col min="165" max="165" width="3.140625" bestFit="1" customWidth="1"/>
    <col min="166" max="166" width="3" bestFit="1" customWidth="1"/>
    <col min="167" max="167" width="3.42578125" bestFit="1" customWidth="1"/>
    <col min="168" max="168" width="4" bestFit="1" customWidth="1"/>
    <col min="169" max="169" width="3.140625" bestFit="1" customWidth="1"/>
    <col min="170" max="170" width="3.7109375" bestFit="1" customWidth="1"/>
    <col min="171" max="171" width="3.5703125" bestFit="1" customWidth="1"/>
    <col min="172" max="172" width="3.140625" bestFit="1" customWidth="1"/>
    <col min="173" max="173" width="3" bestFit="1" customWidth="1"/>
    <col min="174" max="174" width="3.42578125" bestFit="1" customWidth="1"/>
    <col min="175" max="175" width="4" bestFit="1" customWidth="1"/>
    <col min="176" max="176" width="3.140625" bestFit="1" customWidth="1"/>
    <col min="177" max="177" width="3.7109375" bestFit="1" customWidth="1"/>
    <col min="178" max="178" width="3.5703125" bestFit="1" customWidth="1"/>
    <col min="179" max="179" width="3.140625" bestFit="1" customWidth="1"/>
    <col min="180" max="180" width="3" bestFit="1" customWidth="1"/>
    <col min="181" max="181" width="3.42578125" bestFit="1" customWidth="1"/>
    <col min="182" max="182" width="4" bestFit="1" customWidth="1"/>
    <col min="183" max="183" width="3.140625" bestFit="1" customWidth="1"/>
    <col min="184" max="184" width="3.7109375" bestFit="1" customWidth="1"/>
    <col min="185" max="185" width="3.5703125" bestFit="1" customWidth="1"/>
    <col min="186" max="186" width="3.140625" bestFit="1" customWidth="1"/>
    <col min="187" max="187" width="3" bestFit="1" customWidth="1"/>
    <col min="188" max="188" width="3.42578125" bestFit="1" customWidth="1"/>
    <col min="189" max="189" width="4" bestFit="1" customWidth="1"/>
    <col min="190" max="190" width="3.140625" bestFit="1" customWidth="1"/>
    <col min="191" max="191" width="3.7109375" bestFit="1" customWidth="1"/>
    <col min="192" max="192" width="3.5703125" bestFit="1" customWidth="1"/>
    <col min="193" max="193" width="3.140625" bestFit="1" customWidth="1"/>
    <col min="194" max="194" width="3" bestFit="1" customWidth="1"/>
    <col min="195" max="195" width="3.42578125" bestFit="1" customWidth="1"/>
    <col min="196" max="196" width="4" bestFit="1" customWidth="1"/>
    <col min="197" max="197" width="3.140625" bestFit="1" customWidth="1"/>
    <col min="198" max="198" width="3.7109375" bestFit="1" customWidth="1"/>
    <col min="199" max="199" width="3.5703125" bestFit="1" customWidth="1"/>
    <col min="200" max="200" width="3.140625" bestFit="1" customWidth="1"/>
    <col min="201" max="201" width="3" bestFit="1" customWidth="1"/>
    <col min="202" max="202" width="3.42578125" bestFit="1" customWidth="1"/>
    <col min="203" max="203" width="4" bestFit="1" customWidth="1"/>
    <col min="204" max="204" width="3.140625" bestFit="1" customWidth="1"/>
    <col min="205" max="205" width="3.7109375" bestFit="1" customWidth="1"/>
    <col min="206" max="206" width="3.5703125" bestFit="1" customWidth="1"/>
    <col min="207" max="207" width="3.140625" bestFit="1" customWidth="1"/>
    <col min="208" max="208" width="3" bestFit="1" customWidth="1"/>
    <col min="209" max="209" width="3.42578125" bestFit="1" customWidth="1"/>
    <col min="210" max="210" width="4" bestFit="1" customWidth="1"/>
    <col min="211" max="211" width="3.140625" bestFit="1" customWidth="1"/>
    <col min="212" max="212" width="3.7109375" bestFit="1" customWidth="1"/>
    <col min="213" max="213" width="3.5703125" bestFit="1" customWidth="1"/>
    <col min="214" max="214" width="3.140625" bestFit="1" customWidth="1"/>
    <col min="215" max="215" width="3" bestFit="1" customWidth="1"/>
    <col min="216" max="216" width="3.42578125" bestFit="1" customWidth="1"/>
    <col min="217" max="217" width="4" bestFit="1" customWidth="1"/>
    <col min="218" max="218" width="3.140625" bestFit="1" customWidth="1"/>
    <col min="219" max="219" width="3.7109375" bestFit="1" customWidth="1"/>
  </cols>
  <sheetData>
    <row r="1" spans="1:219">
      <c r="A1" s="33"/>
      <c r="B1" s="33"/>
      <c r="O1" s="143" t="s">
        <v>88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 t="s">
        <v>89</v>
      </c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 t="s">
        <v>90</v>
      </c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 t="s">
        <v>91</v>
      </c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 t="s">
        <v>92</v>
      </c>
      <c r="DY1" s="143"/>
      <c r="DZ1" s="143"/>
      <c r="EA1" s="143"/>
      <c r="EB1" s="143"/>
      <c r="EC1" s="143"/>
      <c r="ED1" s="143"/>
      <c r="EE1" s="143"/>
      <c r="EF1" s="143"/>
      <c r="EG1" s="143"/>
      <c r="EH1" s="143"/>
      <c r="EI1" s="143"/>
      <c r="EJ1" s="143"/>
      <c r="EK1" s="143"/>
      <c r="EL1" s="143"/>
      <c r="EM1" s="143"/>
      <c r="EN1" s="143"/>
      <c r="EO1" s="143"/>
      <c r="EP1" s="143"/>
      <c r="EQ1" s="143"/>
      <c r="ER1" s="143"/>
      <c r="ES1" s="143"/>
      <c r="ET1" s="143"/>
      <c r="EU1" s="143"/>
      <c r="EV1" s="143"/>
      <c r="EW1" s="143"/>
      <c r="EX1" s="143"/>
      <c r="EY1" s="143"/>
      <c r="EZ1" s="143"/>
      <c r="FA1" s="143"/>
      <c r="FB1" s="143"/>
      <c r="FC1" s="143" t="s">
        <v>93</v>
      </c>
      <c r="FD1" s="143"/>
      <c r="FE1" s="143"/>
      <c r="FF1" s="143"/>
      <c r="FG1" s="143"/>
      <c r="FH1" s="143"/>
      <c r="FI1" s="143"/>
      <c r="FJ1" s="143"/>
      <c r="FK1" s="143"/>
      <c r="FL1" s="143"/>
      <c r="FM1" s="143"/>
      <c r="FN1" s="143"/>
      <c r="FO1" s="143"/>
      <c r="FP1" s="143"/>
      <c r="FQ1" s="143"/>
      <c r="FR1" s="143"/>
      <c r="FS1" s="143"/>
      <c r="FT1" s="143"/>
      <c r="FU1" s="143"/>
      <c r="FV1" s="143"/>
      <c r="FW1" s="143"/>
      <c r="FX1" s="143"/>
      <c r="FY1" s="143"/>
      <c r="FZ1" s="143"/>
      <c r="GA1" s="143"/>
      <c r="GB1" s="143"/>
      <c r="GC1" s="143"/>
      <c r="GD1" s="143"/>
      <c r="GE1" s="143"/>
      <c r="GF1" s="143"/>
      <c r="GG1" s="143" t="s">
        <v>94</v>
      </c>
      <c r="GH1" s="143"/>
      <c r="GI1" s="143"/>
      <c r="GJ1" s="143"/>
      <c r="GK1" s="143"/>
      <c r="GL1" s="143"/>
      <c r="GM1" s="143"/>
      <c r="GN1" s="143"/>
      <c r="GO1" s="143"/>
      <c r="GP1" s="143"/>
      <c r="GQ1" s="143"/>
      <c r="GR1" s="143"/>
      <c r="GS1" s="143"/>
      <c r="GT1" s="143"/>
      <c r="GU1" s="143"/>
      <c r="GV1" s="143"/>
      <c r="GW1" s="143"/>
      <c r="GX1" s="143"/>
      <c r="GY1" s="143"/>
      <c r="GZ1" s="143"/>
      <c r="HA1" s="143"/>
      <c r="HB1" s="143"/>
      <c r="HC1" s="143"/>
      <c r="HD1" s="143"/>
      <c r="HE1" s="143"/>
      <c r="HF1" s="143"/>
      <c r="HG1" s="143"/>
      <c r="HH1" s="143"/>
      <c r="HI1" s="143"/>
      <c r="HJ1" s="143"/>
      <c r="HK1" s="143"/>
    </row>
    <row r="2" spans="1:219" ht="15" customHeight="1">
      <c r="A2" s="34"/>
      <c r="B2" s="34"/>
      <c r="D2" s="35" t="s">
        <v>51</v>
      </c>
      <c r="E2" s="35" t="s">
        <v>52</v>
      </c>
      <c r="F2" s="35" t="s">
        <v>53</v>
      </c>
      <c r="G2" s="35" t="s">
        <v>54</v>
      </c>
      <c r="H2" s="35" t="s">
        <v>55</v>
      </c>
      <c r="I2" s="35" t="s">
        <v>56</v>
      </c>
      <c r="J2" s="35" t="s">
        <v>57</v>
      </c>
      <c r="K2" s="35" t="s">
        <v>58</v>
      </c>
      <c r="L2" s="35" t="s">
        <v>59</v>
      </c>
      <c r="M2" s="36" t="s">
        <v>60</v>
      </c>
      <c r="N2" s="36" t="s">
        <v>61</v>
      </c>
      <c r="O2" s="37">
        <v>43626</v>
      </c>
      <c r="P2" s="37">
        <v>43627</v>
      </c>
      <c r="Q2" s="37">
        <v>43628</v>
      </c>
      <c r="R2" s="37">
        <v>43629</v>
      </c>
      <c r="S2" s="37">
        <v>43630</v>
      </c>
      <c r="T2" s="37">
        <v>43631</v>
      </c>
      <c r="U2" s="37">
        <v>43632</v>
      </c>
      <c r="V2" s="37">
        <v>43633</v>
      </c>
      <c r="W2" s="37">
        <v>43634</v>
      </c>
      <c r="X2" s="37">
        <v>43635</v>
      </c>
      <c r="Y2" s="37">
        <v>43636</v>
      </c>
      <c r="Z2" s="37">
        <v>43637</v>
      </c>
      <c r="AA2" s="37">
        <v>43638</v>
      </c>
      <c r="AB2" s="37">
        <v>43639</v>
      </c>
      <c r="AC2" s="37">
        <v>43640</v>
      </c>
      <c r="AD2" s="37">
        <v>43641</v>
      </c>
      <c r="AE2" s="37">
        <v>43642</v>
      </c>
      <c r="AF2" s="37">
        <v>43643</v>
      </c>
      <c r="AG2" s="37">
        <v>43644</v>
      </c>
      <c r="AH2" s="37">
        <v>43645</v>
      </c>
      <c r="AI2" s="37">
        <v>43646</v>
      </c>
      <c r="AJ2" s="37">
        <v>43647</v>
      </c>
      <c r="AK2" s="37">
        <v>43648</v>
      </c>
      <c r="AL2" s="37">
        <v>43649</v>
      </c>
      <c r="AM2" s="37">
        <v>43650</v>
      </c>
      <c r="AN2" s="37">
        <v>43651</v>
      </c>
      <c r="AO2" s="37">
        <v>43652</v>
      </c>
      <c r="AP2" s="37">
        <v>43653</v>
      </c>
      <c r="AQ2" s="37">
        <v>43654</v>
      </c>
      <c r="AR2" s="37">
        <v>43655</v>
      </c>
      <c r="AS2" s="37">
        <v>43656</v>
      </c>
      <c r="AT2" s="37">
        <v>43657</v>
      </c>
      <c r="AU2" s="37">
        <v>43658</v>
      </c>
      <c r="AV2" s="37">
        <v>43659</v>
      </c>
      <c r="AW2" s="37">
        <v>43660</v>
      </c>
      <c r="AX2" s="37">
        <v>43661</v>
      </c>
      <c r="AY2" s="37">
        <v>43662</v>
      </c>
      <c r="AZ2" s="37">
        <v>43663</v>
      </c>
      <c r="BA2" s="37">
        <v>43664</v>
      </c>
      <c r="BB2" s="37">
        <v>43665</v>
      </c>
      <c r="BC2" s="37">
        <v>43666</v>
      </c>
      <c r="BD2" s="37">
        <v>43667</v>
      </c>
      <c r="BE2" s="37">
        <v>43668</v>
      </c>
      <c r="BF2" s="37">
        <v>43669</v>
      </c>
      <c r="BG2" s="37">
        <v>43670</v>
      </c>
      <c r="BH2" s="37">
        <v>43671</v>
      </c>
      <c r="BI2" s="37">
        <v>43672</v>
      </c>
      <c r="BJ2" s="37">
        <v>43673</v>
      </c>
      <c r="BK2" s="37">
        <v>43674</v>
      </c>
      <c r="BL2" s="37">
        <v>43675</v>
      </c>
      <c r="BM2" s="37">
        <v>43676</v>
      </c>
      <c r="BN2" s="37">
        <v>43677</v>
      </c>
      <c r="BO2" s="37">
        <v>43678</v>
      </c>
      <c r="BP2" s="37">
        <v>43679</v>
      </c>
      <c r="BQ2" s="37">
        <v>43680</v>
      </c>
      <c r="BR2" s="37">
        <v>43681</v>
      </c>
      <c r="BS2" s="37">
        <v>43682</v>
      </c>
      <c r="BT2" s="37">
        <v>43683</v>
      </c>
      <c r="BU2" s="37">
        <v>43684</v>
      </c>
      <c r="BV2" s="37">
        <v>43685</v>
      </c>
      <c r="BW2" s="37">
        <v>43686</v>
      </c>
      <c r="BX2" s="37">
        <v>43687</v>
      </c>
      <c r="BY2" s="37">
        <v>43688</v>
      </c>
      <c r="BZ2" s="37">
        <v>43689</v>
      </c>
      <c r="CA2" s="37">
        <v>43690</v>
      </c>
      <c r="CB2" s="37">
        <v>43691</v>
      </c>
      <c r="CC2" s="37">
        <v>43692</v>
      </c>
      <c r="CD2" s="37">
        <v>43693</v>
      </c>
      <c r="CE2" s="37">
        <v>43694</v>
      </c>
      <c r="CF2" s="37">
        <v>43695</v>
      </c>
      <c r="CG2" s="37">
        <v>43696</v>
      </c>
      <c r="CH2" s="37">
        <v>43697</v>
      </c>
      <c r="CI2" s="37">
        <v>43698</v>
      </c>
      <c r="CJ2" s="37">
        <v>43699</v>
      </c>
      <c r="CK2" s="37">
        <v>43700</v>
      </c>
      <c r="CL2" s="37">
        <v>43701</v>
      </c>
      <c r="CM2" s="37">
        <v>43702</v>
      </c>
      <c r="CN2" s="37">
        <v>43703</v>
      </c>
      <c r="CO2" s="37">
        <v>43704</v>
      </c>
      <c r="CP2" s="37">
        <v>43705</v>
      </c>
      <c r="CQ2" s="37">
        <v>43706</v>
      </c>
      <c r="CR2" s="37">
        <v>43707</v>
      </c>
      <c r="CS2" s="37">
        <v>43708</v>
      </c>
      <c r="CT2" s="37">
        <v>43709</v>
      </c>
      <c r="CU2" s="37">
        <v>43710</v>
      </c>
      <c r="CV2" s="37">
        <v>43711</v>
      </c>
      <c r="CW2" s="37">
        <v>43712</v>
      </c>
      <c r="CX2" s="37">
        <v>43713</v>
      </c>
      <c r="CY2" s="37">
        <v>43714</v>
      </c>
      <c r="CZ2" s="37">
        <v>43715</v>
      </c>
      <c r="DA2" s="37">
        <v>43716</v>
      </c>
      <c r="DB2" s="37">
        <v>43717</v>
      </c>
      <c r="DC2" s="37">
        <v>43718</v>
      </c>
      <c r="DD2" s="37">
        <v>43719</v>
      </c>
      <c r="DE2" s="37">
        <v>43720</v>
      </c>
      <c r="DF2" s="37">
        <v>43721</v>
      </c>
      <c r="DG2" s="37">
        <v>43722</v>
      </c>
      <c r="DH2" s="37">
        <v>43723</v>
      </c>
      <c r="DI2" s="37">
        <v>43724</v>
      </c>
      <c r="DJ2" s="37">
        <v>43725</v>
      </c>
      <c r="DK2" s="37">
        <v>43726</v>
      </c>
      <c r="DL2" s="37">
        <v>43727</v>
      </c>
      <c r="DM2" s="37">
        <v>43728</v>
      </c>
      <c r="DN2" s="37">
        <v>43729</v>
      </c>
      <c r="DO2" s="37">
        <v>43730</v>
      </c>
      <c r="DP2" s="37">
        <v>43731</v>
      </c>
      <c r="DQ2" s="37">
        <v>43732</v>
      </c>
      <c r="DR2" s="37">
        <v>43733</v>
      </c>
      <c r="DS2" s="37">
        <v>43734</v>
      </c>
      <c r="DT2" s="37">
        <v>43735</v>
      </c>
      <c r="DU2" s="37">
        <v>43736</v>
      </c>
      <c r="DV2" s="37">
        <v>43737</v>
      </c>
      <c r="DW2" s="37">
        <v>43738</v>
      </c>
      <c r="DX2" s="37">
        <v>43739</v>
      </c>
      <c r="DY2" s="37">
        <v>43740</v>
      </c>
      <c r="DZ2" s="37">
        <v>43741</v>
      </c>
      <c r="EA2" s="37">
        <v>43742</v>
      </c>
      <c r="EB2" s="37">
        <v>43743</v>
      </c>
      <c r="EC2" s="37">
        <v>43744</v>
      </c>
      <c r="ED2" s="37">
        <v>43745</v>
      </c>
      <c r="EE2" s="37">
        <v>43746</v>
      </c>
      <c r="EF2" s="37">
        <v>43747</v>
      </c>
      <c r="EG2" s="37">
        <v>43748</v>
      </c>
      <c r="EH2" s="37">
        <v>43749</v>
      </c>
      <c r="EI2" s="37">
        <v>43750</v>
      </c>
      <c r="EJ2" s="37">
        <v>43751</v>
      </c>
      <c r="EK2" s="37">
        <v>43752</v>
      </c>
      <c r="EL2" s="37">
        <v>43753</v>
      </c>
      <c r="EM2" s="37">
        <v>43754</v>
      </c>
      <c r="EN2" s="37">
        <v>43755</v>
      </c>
      <c r="EO2" s="37">
        <v>43756</v>
      </c>
      <c r="EP2" s="37">
        <v>43757</v>
      </c>
      <c r="EQ2" s="37">
        <v>43758</v>
      </c>
      <c r="ER2" s="37">
        <v>43759</v>
      </c>
      <c r="ES2" s="37">
        <v>43760</v>
      </c>
      <c r="ET2" s="37">
        <v>43761</v>
      </c>
      <c r="EU2" s="37">
        <v>43762</v>
      </c>
      <c r="EV2" s="37">
        <v>43763</v>
      </c>
      <c r="EW2" s="37">
        <v>43764</v>
      </c>
      <c r="EX2" s="37">
        <v>43765</v>
      </c>
      <c r="EY2" s="37">
        <v>43766</v>
      </c>
      <c r="EZ2" s="37">
        <v>43767</v>
      </c>
      <c r="FA2" s="37">
        <v>43768</v>
      </c>
      <c r="FB2" s="37">
        <v>43769</v>
      </c>
      <c r="FC2" s="37">
        <v>43770</v>
      </c>
      <c r="FD2" s="37">
        <v>43771</v>
      </c>
      <c r="FE2" s="37">
        <v>43772</v>
      </c>
      <c r="FF2" s="37">
        <v>43773</v>
      </c>
      <c r="FG2" s="37">
        <v>43774</v>
      </c>
      <c r="FH2" s="37">
        <v>43775</v>
      </c>
      <c r="FI2" s="37">
        <v>43776</v>
      </c>
      <c r="FJ2" s="37">
        <v>43777</v>
      </c>
      <c r="FK2" s="37">
        <v>43778</v>
      </c>
      <c r="FL2" s="37">
        <v>43779</v>
      </c>
      <c r="FM2" s="37">
        <v>43780</v>
      </c>
      <c r="FN2" s="37">
        <v>43781</v>
      </c>
      <c r="FO2" s="37">
        <v>43782</v>
      </c>
      <c r="FP2" s="37">
        <v>43783</v>
      </c>
      <c r="FQ2" s="37">
        <v>43784</v>
      </c>
      <c r="FR2" s="37">
        <v>43785</v>
      </c>
      <c r="FS2" s="37">
        <v>43786</v>
      </c>
      <c r="FT2" s="37">
        <v>43787</v>
      </c>
      <c r="FU2" s="37">
        <v>43788</v>
      </c>
      <c r="FV2" s="37">
        <v>43789</v>
      </c>
      <c r="FW2" s="37">
        <v>43790</v>
      </c>
      <c r="FX2" s="37">
        <v>43791</v>
      </c>
      <c r="FY2" s="37">
        <v>43792</v>
      </c>
      <c r="FZ2" s="37">
        <v>43793</v>
      </c>
      <c r="GA2" s="37">
        <v>43794</v>
      </c>
      <c r="GB2" s="37">
        <v>43795</v>
      </c>
      <c r="GC2" s="37">
        <v>43796</v>
      </c>
      <c r="GD2" s="37">
        <v>43797</v>
      </c>
      <c r="GE2" s="37">
        <v>43798</v>
      </c>
      <c r="GF2" s="37">
        <v>43799</v>
      </c>
      <c r="GG2" s="37">
        <v>43800</v>
      </c>
      <c r="GH2" s="37">
        <v>43801</v>
      </c>
      <c r="GI2" s="37">
        <v>43802</v>
      </c>
      <c r="GJ2" s="37">
        <v>43803</v>
      </c>
      <c r="GK2" s="37">
        <v>43804</v>
      </c>
      <c r="GL2" s="37">
        <v>43805</v>
      </c>
      <c r="GM2" s="37">
        <v>43806</v>
      </c>
      <c r="GN2" s="37">
        <v>43807</v>
      </c>
      <c r="GO2" s="37">
        <v>43808</v>
      </c>
      <c r="GP2" s="37">
        <v>43809</v>
      </c>
      <c r="GQ2" s="37">
        <v>43810</v>
      </c>
      <c r="GR2" s="37">
        <v>43811</v>
      </c>
      <c r="GS2" s="37">
        <v>43812</v>
      </c>
      <c r="GT2" s="37">
        <v>43813</v>
      </c>
      <c r="GU2" s="37">
        <v>43814</v>
      </c>
      <c r="GV2" s="37">
        <v>43815</v>
      </c>
      <c r="GW2" s="37">
        <v>43816</v>
      </c>
      <c r="GX2" s="37">
        <v>43817</v>
      </c>
      <c r="GY2" s="37">
        <v>43818</v>
      </c>
      <c r="GZ2" s="37">
        <v>43819</v>
      </c>
      <c r="HA2" s="37">
        <v>43820</v>
      </c>
      <c r="HB2" s="37">
        <v>43821</v>
      </c>
      <c r="HC2" s="37">
        <v>43822</v>
      </c>
      <c r="HD2" s="37">
        <v>43823</v>
      </c>
      <c r="HE2" s="37">
        <v>43824</v>
      </c>
      <c r="HF2" s="37">
        <v>43825</v>
      </c>
      <c r="HG2" s="37">
        <v>43826</v>
      </c>
      <c r="HH2" s="37">
        <v>43827</v>
      </c>
      <c r="HI2" s="37">
        <v>43828</v>
      </c>
      <c r="HJ2" s="37">
        <v>43829</v>
      </c>
      <c r="HK2" s="37">
        <v>43830</v>
      </c>
    </row>
    <row r="3" spans="1:219" ht="18.75" customHeight="1">
      <c r="A3" s="38" t="s">
        <v>68</v>
      </c>
      <c r="B3" s="38"/>
      <c r="C3" s="39"/>
      <c r="D3" s="40"/>
      <c r="E3" s="40"/>
      <c r="F3" s="40"/>
      <c r="G3" s="40"/>
      <c r="H3" s="40"/>
      <c r="I3" s="40"/>
      <c r="J3" s="40"/>
      <c r="K3" s="40"/>
      <c r="L3" s="40"/>
      <c r="M3" s="41"/>
      <c r="N3" s="41"/>
      <c r="O3" s="42">
        <f t="shared" ref="O3:R3" si="0">O2</f>
        <v>43626</v>
      </c>
      <c r="P3" s="42">
        <f t="shared" si="0"/>
        <v>43627</v>
      </c>
      <c r="Q3" s="42">
        <f t="shared" si="0"/>
        <v>43628</v>
      </c>
      <c r="R3" s="42">
        <f t="shared" si="0"/>
        <v>43629</v>
      </c>
      <c r="S3" s="42">
        <f>S2</f>
        <v>43630</v>
      </c>
      <c r="T3" s="42">
        <f t="shared" ref="T3:W3" si="1">T2</f>
        <v>43631</v>
      </c>
      <c r="U3" s="42">
        <f t="shared" si="1"/>
        <v>43632</v>
      </c>
      <c r="V3" s="42">
        <f t="shared" si="1"/>
        <v>43633</v>
      </c>
      <c r="W3" s="42">
        <f t="shared" si="1"/>
        <v>43634</v>
      </c>
      <c r="X3" s="42">
        <f t="shared" ref="X3:CI3" si="2">X2</f>
        <v>43635</v>
      </c>
      <c r="Y3" s="42">
        <f t="shared" si="2"/>
        <v>43636</v>
      </c>
      <c r="Z3" s="42">
        <f t="shared" si="2"/>
        <v>43637</v>
      </c>
      <c r="AA3" s="42">
        <f t="shared" si="2"/>
        <v>43638</v>
      </c>
      <c r="AB3" s="42">
        <f t="shared" si="2"/>
        <v>43639</v>
      </c>
      <c r="AC3" s="42">
        <f t="shared" si="2"/>
        <v>43640</v>
      </c>
      <c r="AD3" s="42">
        <f t="shared" si="2"/>
        <v>43641</v>
      </c>
      <c r="AE3" s="42">
        <f t="shared" si="2"/>
        <v>43642</v>
      </c>
      <c r="AF3" s="42">
        <f t="shared" si="2"/>
        <v>43643</v>
      </c>
      <c r="AG3" s="42">
        <f t="shared" si="2"/>
        <v>43644</v>
      </c>
      <c r="AH3" s="42">
        <f t="shared" si="2"/>
        <v>43645</v>
      </c>
      <c r="AI3" s="42">
        <f t="shared" si="2"/>
        <v>43646</v>
      </c>
      <c r="AJ3" s="42">
        <f t="shared" si="2"/>
        <v>43647</v>
      </c>
      <c r="AK3" s="42">
        <f t="shared" si="2"/>
        <v>43648</v>
      </c>
      <c r="AL3" s="42">
        <f t="shared" si="2"/>
        <v>43649</v>
      </c>
      <c r="AM3" s="42">
        <f t="shared" si="2"/>
        <v>43650</v>
      </c>
      <c r="AN3" s="42">
        <f t="shared" si="2"/>
        <v>43651</v>
      </c>
      <c r="AO3" s="42">
        <f t="shared" si="2"/>
        <v>43652</v>
      </c>
      <c r="AP3" s="42">
        <f t="shared" si="2"/>
        <v>43653</v>
      </c>
      <c r="AQ3" s="42">
        <f t="shared" si="2"/>
        <v>43654</v>
      </c>
      <c r="AR3" s="42">
        <f t="shared" si="2"/>
        <v>43655</v>
      </c>
      <c r="AS3" s="42">
        <f t="shared" si="2"/>
        <v>43656</v>
      </c>
      <c r="AT3" s="42">
        <f t="shared" si="2"/>
        <v>43657</v>
      </c>
      <c r="AU3" s="42">
        <f t="shared" si="2"/>
        <v>43658</v>
      </c>
      <c r="AV3" s="42">
        <f t="shared" si="2"/>
        <v>43659</v>
      </c>
      <c r="AW3" s="42">
        <f t="shared" si="2"/>
        <v>43660</v>
      </c>
      <c r="AX3" s="42">
        <f t="shared" si="2"/>
        <v>43661</v>
      </c>
      <c r="AY3" s="42">
        <f t="shared" si="2"/>
        <v>43662</v>
      </c>
      <c r="AZ3" s="42">
        <f t="shared" si="2"/>
        <v>43663</v>
      </c>
      <c r="BA3" s="42">
        <f t="shared" si="2"/>
        <v>43664</v>
      </c>
      <c r="BB3" s="42">
        <f t="shared" si="2"/>
        <v>43665</v>
      </c>
      <c r="BC3" s="42">
        <f t="shared" si="2"/>
        <v>43666</v>
      </c>
      <c r="BD3" s="42">
        <f t="shared" si="2"/>
        <v>43667</v>
      </c>
      <c r="BE3" s="42">
        <f t="shared" si="2"/>
        <v>43668</v>
      </c>
      <c r="BF3" s="42">
        <f t="shared" si="2"/>
        <v>43669</v>
      </c>
      <c r="BG3" s="42">
        <f t="shared" si="2"/>
        <v>43670</v>
      </c>
      <c r="BH3" s="42">
        <f t="shared" si="2"/>
        <v>43671</v>
      </c>
      <c r="BI3" s="42">
        <f t="shared" si="2"/>
        <v>43672</v>
      </c>
      <c r="BJ3" s="42">
        <f t="shared" si="2"/>
        <v>43673</v>
      </c>
      <c r="BK3" s="42">
        <f t="shared" si="2"/>
        <v>43674</v>
      </c>
      <c r="BL3" s="42">
        <f t="shared" si="2"/>
        <v>43675</v>
      </c>
      <c r="BM3" s="42">
        <f t="shared" si="2"/>
        <v>43676</v>
      </c>
      <c r="BN3" s="42">
        <f t="shared" si="2"/>
        <v>43677</v>
      </c>
      <c r="BO3" s="42">
        <f t="shared" si="2"/>
        <v>43678</v>
      </c>
      <c r="BP3" s="42">
        <f t="shared" si="2"/>
        <v>43679</v>
      </c>
      <c r="BQ3" s="42">
        <f t="shared" si="2"/>
        <v>43680</v>
      </c>
      <c r="BR3" s="42">
        <f t="shared" si="2"/>
        <v>43681</v>
      </c>
      <c r="BS3" s="42">
        <f t="shared" si="2"/>
        <v>43682</v>
      </c>
      <c r="BT3" s="42">
        <f t="shared" si="2"/>
        <v>43683</v>
      </c>
      <c r="BU3" s="42">
        <f t="shared" si="2"/>
        <v>43684</v>
      </c>
      <c r="BV3" s="42">
        <f t="shared" si="2"/>
        <v>43685</v>
      </c>
      <c r="BW3" s="42">
        <f t="shared" si="2"/>
        <v>43686</v>
      </c>
      <c r="BX3" s="42">
        <f t="shared" si="2"/>
        <v>43687</v>
      </c>
      <c r="BY3" s="42">
        <f t="shared" si="2"/>
        <v>43688</v>
      </c>
      <c r="BZ3" s="42">
        <f t="shared" si="2"/>
        <v>43689</v>
      </c>
      <c r="CA3" s="42">
        <f t="shared" si="2"/>
        <v>43690</v>
      </c>
      <c r="CB3" s="42">
        <f t="shared" si="2"/>
        <v>43691</v>
      </c>
      <c r="CC3" s="42">
        <f t="shared" si="2"/>
        <v>43692</v>
      </c>
      <c r="CD3" s="42">
        <f t="shared" si="2"/>
        <v>43693</v>
      </c>
      <c r="CE3" s="42">
        <f t="shared" si="2"/>
        <v>43694</v>
      </c>
      <c r="CF3" s="42">
        <f t="shared" si="2"/>
        <v>43695</v>
      </c>
      <c r="CG3" s="42">
        <f t="shared" si="2"/>
        <v>43696</v>
      </c>
      <c r="CH3" s="42">
        <f t="shared" si="2"/>
        <v>43697</v>
      </c>
      <c r="CI3" s="42">
        <f t="shared" si="2"/>
        <v>43698</v>
      </c>
      <c r="CJ3" s="42">
        <f t="shared" ref="CJ3:ES3" si="3">CJ2</f>
        <v>43699</v>
      </c>
      <c r="CK3" s="42">
        <f t="shared" si="3"/>
        <v>43700</v>
      </c>
      <c r="CL3" s="42">
        <f t="shared" si="3"/>
        <v>43701</v>
      </c>
      <c r="CM3" s="42">
        <f t="shared" si="3"/>
        <v>43702</v>
      </c>
      <c r="CN3" s="42">
        <f t="shared" si="3"/>
        <v>43703</v>
      </c>
      <c r="CO3" s="42">
        <f t="shared" si="3"/>
        <v>43704</v>
      </c>
      <c r="CP3" s="42">
        <f t="shared" si="3"/>
        <v>43705</v>
      </c>
      <c r="CQ3" s="42">
        <f t="shared" si="3"/>
        <v>43706</v>
      </c>
      <c r="CR3" s="42">
        <f t="shared" si="3"/>
        <v>43707</v>
      </c>
      <c r="CS3" s="42">
        <f t="shared" si="3"/>
        <v>43708</v>
      </c>
      <c r="CT3" s="42">
        <f t="shared" si="3"/>
        <v>43709</v>
      </c>
      <c r="CU3" s="42">
        <f t="shared" si="3"/>
        <v>43710</v>
      </c>
      <c r="CV3" s="42">
        <f t="shared" si="3"/>
        <v>43711</v>
      </c>
      <c r="CW3" s="42">
        <f t="shared" si="3"/>
        <v>43712</v>
      </c>
      <c r="CX3" s="42">
        <f t="shared" si="3"/>
        <v>43713</v>
      </c>
      <c r="CY3" s="42">
        <f t="shared" si="3"/>
        <v>43714</v>
      </c>
      <c r="CZ3" s="42">
        <f t="shared" si="3"/>
        <v>43715</v>
      </c>
      <c r="DA3" s="42">
        <f t="shared" si="3"/>
        <v>43716</v>
      </c>
      <c r="DB3" s="42">
        <f t="shared" si="3"/>
        <v>43717</v>
      </c>
      <c r="DC3" s="42">
        <f t="shared" si="3"/>
        <v>43718</v>
      </c>
      <c r="DD3" s="42">
        <f t="shared" si="3"/>
        <v>43719</v>
      </c>
      <c r="DE3" s="42">
        <f t="shared" si="3"/>
        <v>43720</v>
      </c>
      <c r="DF3" s="42">
        <f t="shared" si="3"/>
        <v>43721</v>
      </c>
      <c r="DG3" s="42">
        <f t="shared" si="3"/>
        <v>43722</v>
      </c>
      <c r="DH3" s="42">
        <f t="shared" si="3"/>
        <v>43723</v>
      </c>
      <c r="DI3" s="42">
        <f t="shared" si="3"/>
        <v>43724</v>
      </c>
      <c r="DJ3" s="42">
        <f t="shared" si="3"/>
        <v>43725</v>
      </c>
      <c r="DK3" s="42">
        <f t="shared" si="3"/>
        <v>43726</v>
      </c>
      <c r="DL3" s="42">
        <f t="shared" si="3"/>
        <v>43727</v>
      </c>
      <c r="DM3" s="42">
        <f t="shared" si="3"/>
        <v>43728</v>
      </c>
      <c r="DN3" s="42">
        <f t="shared" si="3"/>
        <v>43729</v>
      </c>
      <c r="DO3" s="42">
        <f t="shared" si="3"/>
        <v>43730</v>
      </c>
      <c r="DP3" s="42">
        <f t="shared" si="3"/>
        <v>43731</v>
      </c>
      <c r="DQ3" s="42">
        <f t="shared" si="3"/>
        <v>43732</v>
      </c>
      <c r="DR3" s="42">
        <f t="shared" si="3"/>
        <v>43733</v>
      </c>
      <c r="DS3" s="42">
        <f t="shared" si="3"/>
        <v>43734</v>
      </c>
      <c r="DT3" s="42">
        <f t="shared" si="3"/>
        <v>43735</v>
      </c>
      <c r="DU3" s="42">
        <f t="shared" si="3"/>
        <v>43736</v>
      </c>
      <c r="DV3" s="42">
        <f t="shared" si="3"/>
        <v>43737</v>
      </c>
      <c r="DW3" s="42">
        <f t="shared" si="3"/>
        <v>43738</v>
      </c>
      <c r="DX3" s="42">
        <f t="shared" si="3"/>
        <v>43739</v>
      </c>
      <c r="DY3" s="42">
        <f t="shared" si="3"/>
        <v>43740</v>
      </c>
      <c r="DZ3" s="42">
        <f t="shared" si="3"/>
        <v>43741</v>
      </c>
      <c r="EA3" s="42">
        <f t="shared" si="3"/>
        <v>43742</v>
      </c>
      <c r="EB3" s="42">
        <f t="shared" si="3"/>
        <v>43743</v>
      </c>
      <c r="EC3" s="42">
        <f t="shared" si="3"/>
        <v>43744</v>
      </c>
      <c r="ED3" s="42">
        <f t="shared" si="3"/>
        <v>43745</v>
      </c>
      <c r="EE3" s="42">
        <f t="shared" si="3"/>
        <v>43746</v>
      </c>
      <c r="EF3" s="42">
        <f t="shared" si="3"/>
        <v>43747</v>
      </c>
      <c r="EG3" s="42">
        <f t="shared" si="3"/>
        <v>43748</v>
      </c>
      <c r="EH3" s="42">
        <f t="shared" si="3"/>
        <v>43749</v>
      </c>
      <c r="EI3" s="42">
        <f t="shared" si="3"/>
        <v>43750</v>
      </c>
      <c r="EJ3" s="42">
        <f t="shared" si="3"/>
        <v>43751</v>
      </c>
      <c r="EK3" s="42">
        <f t="shared" si="3"/>
        <v>43752</v>
      </c>
      <c r="EL3" s="42">
        <f t="shared" si="3"/>
        <v>43753</v>
      </c>
      <c r="EM3" s="42">
        <f t="shared" si="3"/>
        <v>43754</v>
      </c>
      <c r="EN3" s="42">
        <f t="shared" si="3"/>
        <v>43755</v>
      </c>
      <c r="EO3" s="42">
        <f t="shared" si="3"/>
        <v>43756</v>
      </c>
      <c r="EP3" s="42">
        <f t="shared" si="3"/>
        <v>43757</v>
      </c>
      <c r="EQ3" s="42">
        <f t="shared" si="3"/>
        <v>43758</v>
      </c>
      <c r="ER3" s="42">
        <f t="shared" si="3"/>
        <v>43759</v>
      </c>
      <c r="ES3" s="42">
        <f t="shared" si="3"/>
        <v>43760</v>
      </c>
      <c r="ET3" s="42">
        <f t="shared" ref="ET3:HC3" si="4">ET2</f>
        <v>43761</v>
      </c>
      <c r="EU3" s="42">
        <f t="shared" si="4"/>
        <v>43762</v>
      </c>
      <c r="EV3" s="42">
        <f t="shared" si="4"/>
        <v>43763</v>
      </c>
      <c r="EW3" s="42">
        <f t="shared" si="4"/>
        <v>43764</v>
      </c>
      <c r="EX3" s="42">
        <f t="shared" si="4"/>
        <v>43765</v>
      </c>
      <c r="EY3" s="42">
        <f t="shared" si="4"/>
        <v>43766</v>
      </c>
      <c r="EZ3" s="42">
        <f t="shared" si="4"/>
        <v>43767</v>
      </c>
      <c r="FA3" s="42">
        <f t="shared" si="4"/>
        <v>43768</v>
      </c>
      <c r="FB3" s="42">
        <f t="shared" si="4"/>
        <v>43769</v>
      </c>
      <c r="FC3" s="42">
        <f t="shared" si="4"/>
        <v>43770</v>
      </c>
      <c r="FD3" s="42">
        <f t="shared" si="4"/>
        <v>43771</v>
      </c>
      <c r="FE3" s="42">
        <f t="shared" si="4"/>
        <v>43772</v>
      </c>
      <c r="FF3" s="42">
        <f t="shared" si="4"/>
        <v>43773</v>
      </c>
      <c r="FG3" s="42">
        <f t="shared" si="4"/>
        <v>43774</v>
      </c>
      <c r="FH3" s="42">
        <f t="shared" si="4"/>
        <v>43775</v>
      </c>
      <c r="FI3" s="42">
        <f t="shared" si="4"/>
        <v>43776</v>
      </c>
      <c r="FJ3" s="42">
        <f t="shared" si="4"/>
        <v>43777</v>
      </c>
      <c r="FK3" s="42">
        <f t="shared" si="4"/>
        <v>43778</v>
      </c>
      <c r="FL3" s="42">
        <f t="shared" si="4"/>
        <v>43779</v>
      </c>
      <c r="FM3" s="42">
        <f t="shared" si="4"/>
        <v>43780</v>
      </c>
      <c r="FN3" s="42">
        <f t="shared" si="4"/>
        <v>43781</v>
      </c>
      <c r="FO3" s="42">
        <f t="shared" si="4"/>
        <v>43782</v>
      </c>
      <c r="FP3" s="42">
        <f t="shared" si="4"/>
        <v>43783</v>
      </c>
      <c r="FQ3" s="42">
        <f t="shared" si="4"/>
        <v>43784</v>
      </c>
      <c r="FR3" s="42">
        <f t="shared" si="4"/>
        <v>43785</v>
      </c>
      <c r="FS3" s="42">
        <f t="shared" si="4"/>
        <v>43786</v>
      </c>
      <c r="FT3" s="42">
        <f t="shared" si="4"/>
        <v>43787</v>
      </c>
      <c r="FU3" s="42">
        <f t="shared" si="4"/>
        <v>43788</v>
      </c>
      <c r="FV3" s="42">
        <f t="shared" si="4"/>
        <v>43789</v>
      </c>
      <c r="FW3" s="42">
        <f t="shared" si="4"/>
        <v>43790</v>
      </c>
      <c r="FX3" s="42">
        <f t="shared" si="4"/>
        <v>43791</v>
      </c>
      <c r="FY3" s="42">
        <f t="shared" si="4"/>
        <v>43792</v>
      </c>
      <c r="FZ3" s="42">
        <f t="shared" si="4"/>
        <v>43793</v>
      </c>
      <c r="GA3" s="42">
        <f t="shared" si="4"/>
        <v>43794</v>
      </c>
      <c r="GB3" s="42">
        <f t="shared" si="4"/>
        <v>43795</v>
      </c>
      <c r="GC3" s="42">
        <f t="shared" si="4"/>
        <v>43796</v>
      </c>
      <c r="GD3" s="42">
        <f t="shared" si="4"/>
        <v>43797</v>
      </c>
      <c r="GE3" s="42">
        <f t="shared" si="4"/>
        <v>43798</v>
      </c>
      <c r="GF3" s="42">
        <f t="shared" si="4"/>
        <v>43799</v>
      </c>
      <c r="GG3" s="42">
        <f t="shared" si="4"/>
        <v>43800</v>
      </c>
      <c r="GH3" s="42">
        <f t="shared" si="4"/>
        <v>43801</v>
      </c>
      <c r="GI3" s="42">
        <f t="shared" si="4"/>
        <v>43802</v>
      </c>
      <c r="GJ3" s="42">
        <f t="shared" si="4"/>
        <v>43803</v>
      </c>
      <c r="GK3" s="42">
        <f t="shared" si="4"/>
        <v>43804</v>
      </c>
      <c r="GL3" s="42">
        <f t="shared" si="4"/>
        <v>43805</v>
      </c>
      <c r="GM3" s="42">
        <f t="shared" si="4"/>
        <v>43806</v>
      </c>
      <c r="GN3" s="42">
        <f t="shared" si="4"/>
        <v>43807</v>
      </c>
      <c r="GO3" s="42">
        <f t="shared" si="4"/>
        <v>43808</v>
      </c>
      <c r="GP3" s="42">
        <f t="shared" si="4"/>
        <v>43809</v>
      </c>
      <c r="GQ3" s="42">
        <f t="shared" si="4"/>
        <v>43810</v>
      </c>
      <c r="GR3" s="42">
        <f t="shared" si="4"/>
        <v>43811</v>
      </c>
      <c r="GS3" s="42">
        <f t="shared" si="4"/>
        <v>43812</v>
      </c>
      <c r="GT3" s="42">
        <f t="shared" si="4"/>
        <v>43813</v>
      </c>
      <c r="GU3" s="42">
        <f t="shared" si="4"/>
        <v>43814</v>
      </c>
      <c r="GV3" s="42">
        <f t="shared" si="4"/>
        <v>43815</v>
      </c>
      <c r="GW3" s="42">
        <f t="shared" si="4"/>
        <v>43816</v>
      </c>
      <c r="GX3" s="42">
        <f t="shared" si="4"/>
        <v>43817</v>
      </c>
      <c r="GY3" s="42">
        <f t="shared" si="4"/>
        <v>43818</v>
      </c>
      <c r="GZ3" s="42">
        <f t="shared" si="4"/>
        <v>43819</v>
      </c>
      <c r="HA3" s="42">
        <f t="shared" si="4"/>
        <v>43820</v>
      </c>
      <c r="HB3" s="42">
        <f t="shared" si="4"/>
        <v>43821</v>
      </c>
      <c r="HC3" s="42">
        <f t="shared" si="4"/>
        <v>43822</v>
      </c>
      <c r="HD3" s="42">
        <f t="shared" ref="HD3:HJ3" si="5">HD2</f>
        <v>43823</v>
      </c>
      <c r="HE3" s="42">
        <f t="shared" si="5"/>
        <v>43824</v>
      </c>
      <c r="HF3" s="42">
        <f t="shared" si="5"/>
        <v>43825</v>
      </c>
      <c r="HG3" s="42">
        <f t="shared" si="5"/>
        <v>43826</v>
      </c>
      <c r="HH3" s="42">
        <f t="shared" si="5"/>
        <v>43827</v>
      </c>
      <c r="HI3" s="42">
        <f t="shared" si="5"/>
        <v>43828</v>
      </c>
      <c r="HJ3" s="42">
        <f t="shared" si="5"/>
        <v>43829</v>
      </c>
      <c r="HK3" s="42">
        <f t="shared" ref="HK3" si="6">HK2</f>
        <v>43830</v>
      </c>
    </row>
    <row r="4" spans="1:219">
      <c r="A4" s="42"/>
      <c r="B4" s="42"/>
      <c r="C4" s="43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19">
      <c r="A5" s="44" t="s">
        <v>62</v>
      </c>
      <c r="B5" s="44"/>
      <c r="C5" s="45" t="s">
        <v>63</v>
      </c>
      <c r="D5" s="46">
        <v>129200</v>
      </c>
      <c r="E5" s="47">
        <v>140600</v>
      </c>
      <c r="F5" s="56">
        <f>E5-D5</f>
        <v>11400</v>
      </c>
      <c r="G5" s="48"/>
      <c r="H5" s="48"/>
      <c r="I5" s="48"/>
      <c r="J5" s="48"/>
      <c r="K5" s="48"/>
      <c r="L5" s="48"/>
      <c r="M5" s="49">
        <f>MIN(M6:M6)</f>
        <v>43640</v>
      </c>
      <c r="N5" s="49">
        <f>MAX(N6:N7)</f>
        <v>43654.114999999998</v>
      </c>
      <c r="O5" s="50"/>
      <c r="P5" s="50"/>
      <c r="Q5" s="50"/>
      <c r="R5" s="50"/>
    </row>
    <row r="6" spans="1:219">
      <c r="A6" s="34"/>
      <c r="B6" s="34"/>
      <c r="C6" s="55" t="s">
        <v>65</v>
      </c>
      <c r="D6" s="51">
        <f>D5</f>
        <v>129200</v>
      </c>
      <c r="E6" s="51">
        <f>E5</f>
        <v>140600</v>
      </c>
      <c r="F6" s="52">
        <f t="shared" ref="F6:F7" si="7">E6-D6</f>
        <v>11400</v>
      </c>
      <c r="G6" s="15">
        <v>10.5</v>
      </c>
      <c r="H6" s="55">
        <v>0.03</v>
      </c>
      <c r="I6">
        <f t="shared" ref="I6:I7" si="8">F6*G6*H6</f>
        <v>3591</v>
      </c>
      <c r="J6" s="52">
        <v>1</v>
      </c>
      <c r="K6" s="19">
        <f>(30*14)/1.3</f>
        <v>323.07692307692304</v>
      </c>
      <c r="L6" s="53">
        <f t="shared" ref="L6:L7" si="9">I6/(J6*K6)</f>
        <v>11.115000000000002</v>
      </c>
      <c r="M6" s="54">
        <f>AC3</f>
        <v>43640</v>
      </c>
      <c r="N6" s="54">
        <f>M6+L6</f>
        <v>43651.114999999998</v>
      </c>
      <c r="O6" s="54"/>
      <c r="P6" s="54"/>
      <c r="Q6" s="54"/>
      <c r="R6" s="54"/>
    </row>
    <row r="7" spans="1:219">
      <c r="C7" s="55" t="s">
        <v>65</v>
      </c>
      <c r="D7" s="51">
        <f t="shared" ref="D7" si="10">D6</f>
        <v>129200</v>
      </c>
      <c r="E7" s="51">
        <f t="shared" ref="E7" si="11">E6</f>
        <v>140600</v>
      </c>
      <c r="F7" s="52">
        <f t="shared" si="7"/>
        <v>11400</v>
      </c>
      <c r="G7" s="15">
        <v>10.5</v>
      </c>
      <c r="H7" s="55">
        <v>0.03</v>
      </c>
      <c r="I7">
        <f t="shared" si="8"/>
        <v>3591</v>
      </c>
      <c r="J7" s="52">
        <v>1</v>
      </c>
      <c r="K7" s="19">
        <f>(30*14)/1.3</f>
        <v>323.07692307692304</v>
      </c>
      <c r="L7" s="53">
        <f t="shared" si="9"/>
        <v>11.115000000000002</v>
      </c>
      <c r="M7" s="54">
        <f>AE2</f>
        <v>43642</v>
      </c>
      <c r="N7" s="54">
        <f>M7+L7+1</f>
        <v>43654.114999999998</v>
      </c>
      <c r="O7" s="54"/>
      <c r="P7" s="54"/>
      <c r="Q7" s="54"/>
      <c r="R7" s="54"/>
    </row>
    <row r="8" spans="1:219">
      <c r="A8" s="44" t="s">
        <v>66</v>
      </c>
      <c r="B8" s="44"/>
      <c r="C8" s="45"/>
      <c r="D8" s="46">
        <v>140600</v>
      </c>
      <c r="E8" s="47">
        <v>142300</v>
      </c>
      <c r="F8" s="48"/>
      <c r="G8" s="48"/>
      <c r="H8" s="48"/>
      <c r="I8" s="48"/>
      <c r="J8" s="48"/>
      <c r="K8" s="48"/>
      <c r="L8" s="48"/>
      <c r="M8" s="49">
        <f>MIN(M9:M11)</f>
        <v>43630</v>
      </c>
      <c r="N8" s="49">
        <f>MAX(N9:N12)</f>
        <v>43642.657500000001</v>
      </c>
      <c r="O8" s="50"/>
      <c r="P8" s="50"/>
      <c r="Q8" s="50"/>
      <c r="R8" s="50"/>
    </row>
    <row r="9" spans="1:219">
      <c r="A9" s="34"/>
      <c r="B9" s="34"/>
      <c r="C9" t="s">
        <v>67</v>
      </c>
      <c r="D9" s="51">
        <f>D8</f>
        <v>140600</v>
      </c>
      <c r="E9" s="51">
        <f>E8</f>
        <v>142300</v>
      </c>
      <c r="F9" s="52">
        <f>E9-D9</f>
        <v>1700</v>
      </c>
      <c r="G9" s="15">
        <v>10.5</v>
      </c>
      <c r="H9">
        <v>0.14000000000000001</v>
      </c>
      <c r="I9">
        <f t="shared" ref="I9:I12" si="12">F9*G9*H9</f>
        <v>2499.0000000000005</v>
      </c>
      <c r="J9" s="52">
        <v>1</v>
      </c>
      <c r="K9" s="52">
        <f>300*10.5*0.1</f>
        <v>315</v>
      </c>
      <c r="L9" s="53">
        <f>I9/(J9*K9)</f>
        <v>7.9333333333333345</v>
      </c>
      <c r="M9" s="54">
        <f>S3</f>
        <v>43630</v>
      </c>
      <c r="N9" s="54">
        <f t="shared" ref="N9:N12" si="13">M9+L9</f>
        <v>43637.933333333334</v>
      </c>
      <c r="O9" s="54"/>
      <c r="P9" s="54"/>
      <c r="Q9" s="54"/>
      <c r="R9" s="54"/>
    </row>
    <row r="10" spans="1:219">
      <c r="A10" s="34"/>
      <c r="B10" s="34"/>
      <c r="C10" s="55" t="s">
        <v>69</v>
      </c>
      <c r="D10" s="51">
        <f t="shared" ref="D10:D12" si="14">D9</f>
        <v>140600</v>
      </c>
      <c r="E10" s="51">
        <f t="shared" ref="E10:E12" si="15">E9</f>
        <v>142300</v>
      </c>
      <c r="F10" s="52">
        <f>E10-D10</f>
        <v>1700</v>
      </c>
      <c r="G10" s="15">
        <v>10.5</v>
      </c>
      <c r="H10" s="55">
        <v>0.18</v>
      </c>
      <c r="I10">
        <f t="shared" si="12"/>
        <v>3213</v>
      </c>
      <c r="J10" s="52">
        <v>1</v>
      </c>
      <c r="K10" s="19">
        <f>400*10.5*0.18</f>
        <v>756</v>
      </c>
      <c r="L10" s="53">
        <f t="shared" ref="L10:L12" si="16">I10/(J10*K10)</f>
        <v>4.25</v>
      </c>
      <c r="M10" s="54">
        <f>W3</f>
        <v>43634</v>
      </c>
      <c r="N10" s="54">
        <f>M10+L10+3</f>
        <v>43641.25</v>
      </c>
      <c r="O10" s="54"/>
      <c r="P10" s="54"/>
      <c r="Q10" s="54"/>
      <c r="R10" s="54"/>
    </row>
    <row r="11" spans="1:219">
      <c r="A11" s="34"/>
      <c r="B11" s="34"/>
      <c r="C11" s="55" t="s">
        <v>65</v>
      </c>
      <c r="D11" s="51">
        <f t="shared" si="14"/>
        <v>140600</v>
      </c>
      <c r="E11" s="51">
        <f t="shared" si="15"/>
        <v>142300</v>
      </c>
      <c r="F11" s="52">
        <f>E11-D11</f>
        <v>1700</v>
      </c>
      <c r="G11" s="15">
        <v>10.5</v>
      </c>
      <c r="H11" s="55">
        <v>0.03</v>
      </c>
      <c r="I11">
        <f t="shared" si="12"/>
        <v>535.5</v>
      </c>
      <c r="J11" s="52">
        <v>1</v>
      </c>
      <c r="K11" s="19">
        <f>(30*14)/1.3</f>
        <v>323.07692307692304</v>
      </c>
      <c r="L11" s="53">
        <f t="shared" si="16"/>
        <v>1.6575000000000002</v>
      </c>
      <c r="M11" s="54">
        <f>AB3</f>
        <v>43639</v>
      </c>
      <c r="N11" s="54">
        <f t="shared" si="13"/>
        <v>43640.657500000001</v>
      </c>
      <c r="O11" s="54"/>
      <c r="P11" s="54"/>
      <c r="Q11" s="54"/>
      <c r="R11" s="54"/>
    </row>
    <row r="12" spans="1:219">
      <c r="A12" s="34"/>
      <c r="B12" s="34"/>
      <c r="C12" s="55" t="s">
        <v>65</v>
      </c>
      <c r="D12" s="51">
        <f t="shared" si="14"/>
        <v>140600</v>
      </c>
      <c r="E12" s="51">
        <f t="shared" si="15"/>
        <v>142300</v>
      </c>
      <c r="F12" s="52">
        <f>E12-D12</f>
        <v>1700</v>
      </c>
      <c r="G12" s="15">
        <v>10.5</v>
      </c>
      <c r="H12" s="55">
        <v>0.03</v>
      </c>
      <c r="I12">
        <f t="shared" si="12"/>
        <v>535.5</v>
      </c>
      <c r="J12" s="52">
        <v>1</v>
      </c>
      <c r="K12" s="19">
        <f>(30*14)/1.3</f>
        <v>323.07692307692304</v>
      </c>
      <c r="L12" s="53">
        <f t="shared" si="16"/>
        <v>1.6575000000000002</v>
      </c>
      <c r="M12" s="54">
        <f>AD2</f>
        <v>43641</v>
      </c>
      <c r="N12" s="54">
        <f t="shared" si="13"/>
        <v>43642.657500000001</v>
      </c>
      <c r="O12" s="54"/>
      <c r="P12" s="54"/>
      <c r="Q12" s="54"/>
      <c r="R12" s="54"/>
    </row>
    <row r="13" spans="1:219">
      <c r="A13" s="44" t="s">
        <v>70</v>
      </c>
      <c r="B13" s="44"/>
      <c r="C13" s="45"/>
      <c r="D13" s="46">
        <v>142300</v>
      </c>
      <c r="E13" s="47">
        <v>148200</v>
      </c>
      <c r="F13" s="48"/>
      <c r="G13" s="48"/>
      <c r="H13" s="48"/>
      <c r="I13" s="48"/>
      <c r="J13" s="48"/>
      <c r="K13" s="48"/>
      <c r="L13" s="48"/>
      <c r="M13" s="49">
        <f>MIN(M14:M16)</f>
        <v>0</v>
      </c>
      <c r="N13" s="49">
        <f>MAX(N14:N17)</f>
        <v>36.866666666666674</v>
      </c>
    </row>
    <row r="14" spans="1:219">
      <c r="C14" s="55" t="s">
        <v>65</v>
      </c>
      <c r="D14" s="51">
        <f>D13</f>
        <v>142300</v>
      </c>
      <c r="E14" s="51">
        <f>E13</f>
        <v>148200</v>
      </c>
      <c r="F14" s="52">
        <f t="shared" ref="F14:F15" si="17">E14-D14</f>
        <v>5900</v>
      </c>
      <c r="G14" s="15">
        <v>10.5</v>
      </c>
      <c r="H14" s="55">
        <v>0.03</v>
      </c>
      <c r="I14">
        <f t="shared" ref="I14:I15" si="18">F14*G14*H14</f>
        <v>1858.5</v>
      </c>
      <c r="J14" s="52">
        <v>1</v>
      </c>
      <c r="K14" s="19">
        <f>(30*14)/1.3</f>
        <v>323.07692307692304</v>
      </c>
      <c r="L14" s="53">
        <f t="shared" ref="L14:L15" si="19">I14/(J14*K14)</f>
        <v>5.7525000000000004</v>
      </c>
      <c r="M14" s="54">
        <f>AC11</f>
        <v>0</v>
      </c>
      <c r="N14" s="54">
        <f>M14+L14</f>
        <v>5.7525000000000004</v>
      </c>
    </row>
    <row r="15" spans="1:219">
      <c r="C15" s="55" t="s">
        <v>65</v>
      </c>
      <c r="D15" s="51">
        <f t="shared" ref="D15" si="20">D14</f>
        <v>142300</v>
      </c>
      <c r="E15" s="51">
        <f t="shared" ref="E15" si="21">E14</f>
        <v>148200</v>
      </c>
      <c r="F15" s="52">
        <f t="shared" si="17"/>
        <v>5900</v>
      </c>
      <c r="G15" s="15">
        <v>10.5</v>
      </c>
      <c r="H15" s="55">
        <v>0.03</v>
      </c>
      <c r="I15">
        <f t="shared" si="18"/>
        <v>1858.5</v>
      </c>
      <c r="J15" s="52">
        <v>1</v>
      </c>
      <c r="K15" s="19">
        <f>(30*14)/1.3</f>
        <v>323.07692307692304</v>
      </c>
      <c r="L15" s="53">
        <f t="shared" si="19"/>
        <v>5.7525000000000004</v>
      </c>
      <c r="M15" s="54">
        <f>AE10</f>
        <v>0</v>
      </c>
      <c r="N15" s="54">
        <f>M15+L15+1</f>
        <v>6.7525000000000004</v>
      </c>
    </row>
    <row r="16" spans="1:219">
      <c r="A16" s="44" t="s">
        <v>71</v>
      </c>
      <c r="B16" s="44"/>
      <c r="C16" s="45"/>
      <c r="D16" s="46">
        <v>148200</v>
      </c>
      <c r="E16" s="47">
        <v>148600</v>
      </c>
      <c r="F16" s="48"/>
      <c r="G16" s="48"/>
      <c r="H16" s="48"/>
      <c r="I16" s="48"/>
      <c r="J16" s="48"/>
      <c r="K16" s="48"/>
      <c r="L16" s="48"/>
      <c r="M16" s="49">
        <f>MIN(M17:M19)</f>
        <v>0</v>
      </c>
      <c r="N16" s="49">
        <f>MAX(N17:N20)</f>
        <v>36.866666666666674</v>
      </c>
    </row>
    <row r="17" spans="1:14">
      <c r="C17" s="55" t="s">
        <v>64</v>
      </c>
      <c r="D17" s="51">
        <f>D16</f>
        <v>148200</v>
      </c>
      <c r="E17" s="51">
        <f>E16</f>
        <v>148600</v>
      </c>
      <c r="F17" s="52">
        <f t="shared" ref="F17" si="22">E17-D17</f>
        <v>400</v>
      </c>
      <c r="G17" s="15">
        <v>10.5</v>
      </c>
      <c r="H17" s="55">
        <v>0.04</v>
      </c>
      <c r="I17">
        <f t="shared" ref="I17" si="23">F17*G17*H17</f>
        <v>168</v>
      </c>
      <c r="J17" s="52">
        <v>1</v>
      </c>
      <c r="K17" s="19">
        <f>(30*14)/1.3</f>
        <v>323.07692307692304</v>
      </c>
      <c r="L17" s="53">
        <f t="shared" ref="L17" si="24">I17/(J17*K17)</f>
        <v>0.52</v>
      </c>
      <c r="M17" s="54">
        <f>AC14</f>
        <v>0</v>
      </c>
      <c r="N17" s="54">
        <f>M17+L17</f>
        <v>0.52</v>
      </c>
    </row>
    <row r="18" spans="1:14">
      <c r="A18" s="44" t="s">
        <v>72</v>
      </c>
      <c r="B18" s="44"/>
      <c r="C18" s="45"/>
      <c r="D18" s="46">
        <v>148600</v>
      </c>
      <c r="E18" s="47">
        <v>156500</v>
      </c>
      <c r="F18" s="48"/>
      <c r="G18" s="48"/>
      <c r="H18" s="48"/>
      <c r="I18" s="48"/>
      <c r="J18" s="48"/>
      <c r="K18" s="48"/>
      <c r="L18" s="48"/>
      <c r="M18" s="49">
        <f>MIN(M19:M21)</f>
        <v>0</v>
      </c>
      <c r="N18" s="49">
        <f>MAX(N19:N22)</f>
        <v>36.866666666666674</v>
      </c>
    </row>
    <row r="19" spans="1:14">
      <c r="C19" t="s">
        <v>67</v>
      </c>
      <c r="D19" s="51">
        <f>D18</f>
        <v>148600</v>
      </c>
      <c r="E19" s="51">
        <f>E18</f>
        <v>156500</v>
      </c>
      <c r="F19" s="52">
        <f>E19-D19</f>
        <v>7900</v>
      </c>
      <c r="G19" s="15">
        <v>10.5</v>
      </c>
      <c r="H19">
        <v>0.14000000000000001</v>
      </c>
      <c r="I19">
        <f t="shared" ref="I19:I22" si="25">F19*G19*H19</f>
        <v>11613.000000000002</v>
      </c>
      <c r="J19" s="52">
        <v>1</v>
      </c>
      <c r="K19" s="52">
        <f>300*10.5*0.1</f>
        <v>315</v>
      </c>
      <c r="L19" s="53">
        <f>I19/(J19*K19)</f>
        <v>36.866666666666674</v>
      </c>
      <c r="M19" s="54">
        <f>S13</f>
        <v>0</v>
      </c>
      <c r="N19" s="54">
        <f t="shared" ref="N19" si="26">M19+L19</f>
        <v>36.866666666666674</v>
      </c>
    </row>
    <row r="20" spans="1:14">
      <c r="C20" s="55" t="s">
        <v>69</v>
      </c>
      <c r="D20" s="51">
        <f t="shared" ref="D20:D22" si="27">D19</f>
        <v>148600</v>
      </c>
      <c r="E20" s="51">
        <f t="shared" ref="E20:E22" si="28">E19</f>
        <v>156500</v>
      </c>
      <c r="F20" s="52">
        <f>E20-D20</f>
        <v>7900</v>
      </c>
      <c r="G20" s="15">
        <v>10.5</v>
      </c>
      <c r="H20" s="55">
        <v>0.18</v>
      </c>
      <c r="I20">
        <f t="shared" si="25"/>
        <v>14931</v>
      </c>
      <c r="J20" s="52">
        <v>1</v>
      </c>
      <c r="K20" s="19">
        <f>400*10.5*0.18</f>
        <v>756</v>
      </c>
      <c r="L20" s="53">
        <f t="shared" ref="L20:L22" si="29">I20/(J20*K20)</f>
        <v>19.75</v>
      </c>
      <c r="M20" s="54">
        <f>W13</f>
        <v>0</v>
      </c>
      <c r="N20" s="54">
        <f>M20+L20+3</f>
        <v>22.75</v>
      </c>
    </row>
    <row r="21" spans="1:14">
      <c r="C21" s="55" t="s">
        <v>65</v>
      </c>
      <c r="D21" s="51">
        <f t="shared" si="27"/>
        <v>148600</v>
      </c>
      <c r="E21" s="51">
        <f t="shared" si="28"/>
        <v>156500</v>
      </c>
      <c r="F21" s="52">
        <f>E21-D21</f>
        <v>7900</v>
      </c>
      <c r="G21" s="15">
        <v>10.5</v>
      </c>
      <c r="H21" s="55">
        <v>0.03</v>
      </c>
      <c r="I21">
        <f t="shared" si="25"/>
        <v>2488.5</v>
      </c>
      <c r="J21" s="52">
        <v>1</v>
      </c>
      <c r="K21" s="19">
        <f>(30*14)/1.3</f>
        <v>323.07692307692304</v>
      </c>
      <c r="L21" s="53">
        <f t="shared" si="29"/>
        <v>7.7025000000000006</v>
      </c>
      <c r="M21" s="54">
        <f>AB13</f>
        <v>0</v>
      </c>
      <c r="N21" s="54">
        <f t="shared" ref="N21:N22" si="30">M21+L21</f>
        <v>7.7025000000000006</v>
      </c>
    </row>
    <row r="22" spans="1:14">
      <c r="C22" s="55" t="s">
        <v>65</v>
      </c>
      <c r="D22" s="51">
        <f t="shared" si="27"/>
        <v>148600</v>
      </c>
      <c r="E22" s="51">
        <f t="shared" si="28"/>
        <v>156500</v>
      </c>
      <c r="F22" s="52">
        <f>E22-D22</f>
        <v>7900</v>
      </c>
      <c r="G22" s="15">
        <v>10.5</v>
      </c>
      <c r="H22" s="55">
        <v>0.03</v>
      </c>
      <c r="I22">
        <f t="shared" si="25"/>
        <v>2488.5</v>
      </c>
      <c r="J22" s="52">
        <v>1</v>
      </c>
      <c r="K22" s="19">
        <f>(30*14)/1.3</f>
        <v>323.07692307692304</v>
      </c>
      <c r="L22" s="53">
        <f t="shared" si="29"/>
        <v>7.7025000000000006</v>
      </c>
      <c r="M22" s="54">
        <f>AD12</f>
        <v>0</v>
      </c>
      <c r="N22" s="54">
        <f t="shared" si="30"/>
        <v>7.7025000000000006</v>
      </c>
    </row>
    <row r="23" spans="1:14">
      <c r="A23" s="44" t="s">
        <v>73</v>
      </c>
      <c r="B23" s="44"/>
      <c r="C23" s="45"/>
      <c r="D23" s="46">
        <v>156500</v>
      </c>
      <c r="E23" s="47">
        <v>159500</v>
      </c>
      <c r="F23" s="48"/>
      <c r="G23" s="48"/>
      <c r="H23" s="48"/>
      <c r="I23" s="48"/>
      <c r="J23" s="48"/>
      <c r="K23" s="48"/>
      <c r="L23" s="48"/>
      <c r="M23" s="49">
        <f>MIN(M24:M26)</f>
        <v>0</v>
      </c>
      <c r="N23" s="49">
        <f>MAX(N24:N27)</f>
        <v>14</v>
      </c>
    </row>
    <row r="24" spans="1:14">
      <c r="C24" s="55" t="s">
        <v>65</v>
      </c>
      <c r="D24" s="51">
        <f>D23</f>
        <v>156500</v>
      </c>
      <c r="E24" s="51">
        <f>E23</f>
        <v>159500</v>
      </c>
      <c r="F24" s="52">
        <f t="shared" ref="F24:F25" si="31">E24-D24</f>
        <v>3000</v>
      </c>
      <c r="G24" s="15">
        <v>10.5</v>
      </c>
      <c r="H24" s="55">
        <v>0.03</v>
      </c>
      <c r="I24">
        <f t="shared" ref="I24:I25" si="32">F24*G24*H24</f>
        <v>945</v>
      </c>
      <c r="J24" s="52">
        <v>1</v>
      </c>
      <c r="K24" s="19">
        <f>(30*14)/1.3</f>
        <v>323.07692307692304</v>
      </c>
      <c r="L24" s="53">
        <f t="shared" ref="L24:L25" si="33">I24/(J24*K24)</f>
        <v>2.9250000000000003</v>
      </c>
      <c r="M24" s="54">
        <f>AC21</f>
        <v>0</v>
      </c>
      <c r="N24" s="54">
        <f>M24+L24</f>
        <v>2.9250000000000003</v>
      </c>
    </row>
    <row r="25" spans="1:14">
      <c r="C25" s="55" t="s">
        <v>65</v>
      </c>
      <c r="D25" s="51">
        <f t="shared" ref="D25" si="34">D24</f>
        <v>156500</v>
      </c>
      <c r="E25" s="51">
        <f t="shared" ref="E25" si="35">E24</f>
        <v>159500</v>
      </c>
      <c r="F25" s="52">
        <f t="shared" si="31"/>
        <v>3000</v>
      </c>
      <c r="G25" s="15">
        <v>10.5</v>
      </c>
      <c r="H25" s="55">
        <v>0.02</v>
      </c>
      <c r="I25">
        <f t="shared" si="32"/>
        <v>630</v>
      </c>
      <c r="J25" s="52">
        <v>1</v>
      </c>
      <c r="K25" s="19">
        <f>(30*14)/1.3</f>
        <v>323.07692307692304</v>
      </c>
      <c r="L25" s="53">
        <f t="shared" si="33"/>
        <v>1.9500000000000002</v>
      </c>
      <c r="M25" s="54">
        <f>AE20</f>
        <v>0</v>
      </c>
      <c r="N25" s="54">
        <f>M25+L25+1</f>
        <v>2.95</v>
      </c>
    </row>
    <row r="26" spans="1:14">
      <c r="A26" s="44" t="s">
        <v>74</v>
      </c>
      <c r="B26" s="44"/>
      <c r="C26" s="45"/>
      <c r="D26" s="46">
        <v>159500</v>
      </c>
      <c r="E26" s="47">
        <v>162500</v>
      </c>
      <c r="F26" s="48"/>
      <c r="G26" s="48"/>
      <c r="H26" s="48"/>
      <c r="I26" s="48"/>
      <c r="J26" s="48"/>
      <c r="K26" s="48"/>
      <c r="L26" s="48"/>
      <c r="M26" s="49">
        <f>MIN(M27:M29)</f>
        <v>0</v>
      </c>
      <c r="N26" s="49">
        <f>MAX(N27:N30)</f>
        <v>14</v>
      </c>
    </row>
    <row r="27" spans="1:14">
      <c r="C27" t="s">
        <v>67</v>
      </c>
      <c r="D27" s="51">
        <f>D26</f>
        <v>159500</v>
      </c>
      <c r="E27" s="51">
        <f>E26</f>
        <v>162500</v>
      </c>
      <c r="F27" s="52">
        <f>E27-D27</f>
        <v>3000</v>
      </c>
      <c r="G27" s="15">
        <v>10.5</v>
      </c>
      <c r="H27">
        <v>0.14000000000000001</v>
      </c>
      <c r="I27">
        <f t="shared" ref="I27:I30" si="36">F27*G27*H27</f>
        <v>4410</v>
      </c>
      <c r="J27" s="52">
        <v>1</v>
      </c>
      <c r="K27" s="52">
        <f>300*10.5*0.1</f>
        <v>315</v>
      </c>
      <c r="L27" s="53">
        <f>I27/(J27*K27)</f>
        <v>14</v>
      </c>
      <c r="M27" s="54">
        <f>S21</f>
        <v>0</v>
      </c>
      <c r="N27" s="54">
        <f t="shared" ref="N27" si="37">M27+L27</f>
        <v>14</v>
      </c>
    </row>
    <row r="28" spans="1:14">
      <c r="C28" s="55" t="s">
        <v>69</v>
      </c>
      <c r="D28" s="51">
        <f t="shared" ref="D28:D30" si="38">D27</f>
        <v>159500</v>
      </c>
      <c r="E28" s="51">
        <f t="shared" ref="E28:E30" si="39">E27</f>
        <v>162500</v>
      </c>
      <c r="F28" s="52">
        <f>E28-D28</f>
        <v>3000</v>
      </c>
      <c r="G28" s="15">
        <v>10.5</v>
      </c>
      <c r="H28" s="55">
        <v>0.18</v>
      </c>
      <c r="I28">
        <f t="shared" si="36"/>
        <v>5670</v>
      </c>
      <c r="J28" s="52">
        <v>1</v>
      </c>
      <c r="K28" s="19">
        <f>400*10.5*0.18</f>
        <v>756</v>
      </c>
      <c r="L28" s="53">
        <f t="shared" ref="L28:L30" si="40">I28/(J28*K28)</f>
        <v>7.5</v>
      </c>
      <c r="M28" s="54">
        <f>W21</f>
        <v>0</v>
      </c>
      <c r="N28" s="54">
        <f>M28+L28+3</f>
        <v>10.5</v>
      </c>
    </row>
    <row r="29" spans="1:14">
      <c r="C29" s="55" t="s">
        <v>65</v>
      </c>
      <c r="D29" s="51">
        <f t="shared" si="38"/>
        <v>159500</v>
      </c>
      <c r="E29" s="51">
        <f t="shared" si="39"/>
        <v>162500</v>
      </c>
      <c r="F29" s="52">
        <f>E29-D29</f>
        <v>3000</v>
      </c>
      <c r="G29" s="15">
        <v>10.5</v>
      </c>
      <c r="H29" s="55">
        <v>0.03</v>
      </c>
      <c r="I29">
        <f t="shared" si="36"/>
        <v>945</v>
      </c>
      <c r="J29" s="52">
        <v>1</v>
      </c>
      <c r="K29" s="19">
        <f>(30*14)/1.3</f>
        <v>323.07692307692304</v>
      </c>
      <c r="L29" s="53">
        <f t="shared" si="40"/>
        <v>2.9250000000000003</v>
      </c>
      <c r="M29" s="54">
        <f>AB21</f>
        <v>0</v>
      </c>
      <c r="N29" s="54">
        <f t="shared" ref="N29:N30" si="41">M29+L29</f>
        <v>2.9250000000000003</v>
      </c>
    </row>
    <row r="30" spans="1:14">
      <c r="C30" s="55" t="s">
        <v>65</v>
      </c>
      <c r="D30" s="51">
        <f t="shared" si="38"/>
        <v>159500</v>
      </c>
      <c r="E30" s="51">
        <f t="shared" si="39"/>
        <v>162500</v>
      </c>
      <c r="F30" s="52">
        <f>E30-D30</f>
        <v>3000</v>
      </c>
      <c r="G30" s="15">
        <v>10.5</v>
      </c>
      <c r="H30" s="55">
        <v>0.03</v>
      </c>
      <c r="I30">
        <f t="shared" si="36"/>
        <v>945</v>
      </c>
      <c r="J30" s="52">
        <v>1</v>
      </c>
      <c r="K30" s="19">
        <f>(30*14)/1.3</f>
        <v>323.07692307692304</v>
      </c>
      <c r="L30" s="53">
        <f t="shared" si="40"/>
        <v>2.9250000000000003</v>
      </c>
      <c r="M30" s="54">
        <f>AD20</f>
        <v>0</v>
      </c>
      <c r="N30" s="54">
        <f t="shared" si="41"/>
        <v>2.9250000000000003</v>
      </c>
    </row>
    <row r="31" spans="1:14">
      <c r="A31" s="44" t="s">
        <v>75</v>
      </c>
      <c r="B31" s="44"/>
      <c r="C31" s="45"/>
      <c r="D31" s="47">
        <v>162500</v>
      </c>
      <c r="E31" s="47">
        <v>165400</v>
      </c>
      <c r="F31" s="48"/>
      <c r="G31" s="48"/>
      <c r="H31" s="48"/>
      <c r="I31" s="48"/>
      <c r="J31" s="48"/>
      <c r="K31" s="48"/>
      <c r="L31" s="48"/>
      <c r="M31" s="49">
        <f>MIN(M32:M34)</f>
        <v>0</v>
      </c>
      <c r="N31" s="49">
        <f>MAX(N32:N35)</f>
        <v>6.5333333333333332</v>
      </c>
    </row>
    <row r="32" spans="1:14">
      <c r="C32" s="55" t="s">
        <v>65</v>
      </c>
      <c r="D32" s="51">
        <f>D31</f>
        <v>162500</v>
      </c>
      <c r="E32" s="51">
        <f>E31</f>
        <v>165400</v>
      </c>
      <c r="F32" s="52">
        <f t="shared" ref="F32:F33" si="42">E32-D32</f>
        <v>2900</v>
      </c>
      <c r="G32" s="15">
        <v>10.5</v>
      </c>
      <c r="H32" s="55">
        <v>0.03</v>
      </c>
      <c r="I32">
        <f t="shared" ref="I32:I33" si="43">F32*G32*H32</f>
        <v>913.5</v>
      </c>
      <c r="J32" s="52">
        <v>1</v>
      </c>
      <c r="K32" s="19">
        <f>(30*14)/1.3</f>
        <v>323.07692307692304</v>
      </c>
      <c r="L32" s="53">
        <f t="shared" ref="L32:L33" si="44">I32/(J32*K32)</f>
        <v>2.8275000000000001</v>
      </c>
      <c r="M32" s="54">
        <f>AC29</f>
        <v>0</v>
      </c>
      <c r="N32" s="54">
        <f>M32+L32</f>
        <v>2.8275000000000001</v>
      </c>
    </row>
    <row r="33" spans="1:14">
      <c r="C33" s="55" t="s">
        <v>65</v>
      </c>
      <c r="D33" s="51">
        <f t="shared" ref="D33" si="45">D32</f>
        <v>162500</v>
      </c>
      <c r="E33" s="51">
        <f t="shared" ref="E33" si="46">E32</f>
        <v>165400</v>
      </c>
      <c r="F33" s="52">
        <f t="shared" si="42"/>
        <v>2900</v>
      </c>
      <c r="G33" s="15">
        <v>10.5</v>
      </c>
      <c r="H33" s="55">
        <v>0.03</v>
      </c>
      <c r="I33">
        <f t="shared" si="43"/>
        <v>913.5</v>
      </c>
      <c r="J33" s="52">
        <v>1</v>
      </c>
      <c r="K33" s="19">
        <f>(30*14)/1.3</f>
        <v>323.07692307692304</v>
      </c>
      <c r="L33" s="53">
        <f t="shared" si="44"/>
        <v>2.8275000000000001</v>
      </c>
      <c r="M33" s="54">
        <f>AE28</f>
        <v>0</v>
      </c>
      <c r="N33" s="54">
        <f>M33+L33+1</f>
        <v>3.8275000000000001</v>
      </c>
    </row>
    <row r="34" spans="1:14">
      <c r="A34" s="44" t="s">
        <v>76</v>
      </c>
      <c r="B34" s="44"/>
      <c r="C34" s="45"/>
      <c r="D34" s="46">
        <v>165400</v>
      </c>
      <c r="E34" s="47">
        <v>166800</v>
      </c>
      <c r="F34" s="48"/>
      <c r="G34" s="48"/>
      <c r="H34" s="48"/>
      <c r="I34" s="48"/>
      <c r="J34" s="48"/>
      <c r="K34" s="48"/>
      <c r="L34" s="48"/>
      <c r="M34" s="49">
        <f>MIN(M35:M37)</f>
        <v>0</v>
      </c>
      <c r="N34" s="49">
        <f>MAX(N35:N38)</f>
        <v>6.5333333333333332</v>
      </c>
    </row>
    <row r="35" spans="1:14">
      <c r="C35" t="s">
        <v>67</v>
      </c>
      <c r="D35" s="51">
        <f>D34</f>
        <v>165400</v>
      </c>
      <c r="E35" s="51">
        <f>E34</f>
        <v>166800</v>
      </c>
      <c r="F35" s="52">
        <f>E35-D35</f>
        <v>1400</v>
      </c>
      <c r="G35" s="15">
        <v>10.5</v>
      </c>
      <c r="H35">
        <v>0.14000000000000001</v>
      </c>
      <c r="I35">
        <f t="shared" ref="I35:I38" si="47">F35*G35*H35</f>
        <v>2058</v>
      </c>
      <c r="J35" s="52">
        <v>1</v>
      </c>
      <c r="K35" s="52">
        <f>300*10.5*0.1</f>
        <v>315</v>
      </c>
      <c r="L35" s="53">
        <f>I35/(J35*K35)</f>
        <v>6.5333333333333332</v>
      </c>
      <c r="M35" s="54">
        <f>S29</f>
        <v>0</v>
      </c>
      <c r="N35" s="54">
        <f t="shared" ref="N35" si="48">M35+L35</f>
        <v>6.5333333333333332</v>
      </c>
    </row>
    <row r="36" spans="1:14">
      <c r="C36" s="55" t="s">
        <v>69</v>
      </c>
      <c r="D36" s="51">
        <f t="shared" ref="D36:D38" si="49">D35</f>
        <v>165400</v>
      </c>
      <c r="E36" s="51">
        <f t="shared" ref="E36:E38" si="50">E35</f>
        <v>166800</v>
      </c>
      <c r="F36" s="52">
        <f>E36-D36</f>
        <v>1400</v>
      </c>
      <c r="G36" s="15">
        <v>10.5</v>
      </c>
      <c r="H36" s="55">
        <v>0.18</v>
      </c>
      <c r="I36">
        <f t="shared" si="47"/>
        <v>2646</v>
      </c>
      <c r="J36" s="52">
        <v>1</v>
      </c>
      <c r="K36" s="19">
        <f>400*10.5*0.18</f>
        <v>756</v>
      </c>
      <c r="L36" s="53">
        <f t="shared" ref="L36:L38" si="51">I36/(J36*K36)</f>
        <v>3.5</v>
      </c>
      <c r="M36" s="54">
        <f>W29</f>
        <v>0</v>
      </c>
      <c r="N36" s="54">
        <f>M36+L36+3</f>
        <v>6.5</v>
      </c>
    </row>
    <row r="37" spans="1:14">
      <c r="C37" s="55" t="s">
        <v>65</v>
      </c>
      <c r="D37" s="51">
        <f t="shared" si="49"/>
        <v>165400</v>
      </c>
      <c r="E37" s="51">
        <f t="shared" si="50"/>
        <v>166800</v>
      </c>
      <c r="F37" s="52">
        <f>E37-D37</f>
        <v>1400</v>
      </c>
      <c r="G37" s="15">
        <v>10.5</v>
      </c>
      <c r="H37" s="55">
        <v>0.03</v>
      </c>
      <c r="I37">
        <f t="shared" si="47"/>
        <v>441</v>
      </c>
      <c r="J37" s="52">
        <v>1</v>
      </c>
      <c r="K37" s="19">
        <f>(30*14)/1.3</f>
        <v>323.07692307692304</v>
      </c>
      <c r="L37" s="53">
        <f t="shared" si="51"/>
        <v>1.3650000000000002</v>
      </c>
      <c r="M37" s="54">
        <f>AB29</f>
        <v>0</v>
      </c>
      <c r="N37" s="54">
        <f t="shared" ref="N37:N38" si="52">M37+L37</f>
        <v>1.3650000000000002</v>
      </c>
    </row>
    <row r="38" spans="1:14">
      <c r="C38" s="55" t="s">
        <v>65</v>
      </c>
      <c r="D38" s="51">
        <f t="shared" si="49"/>
        <v>165400</v>
      </c>
      <c r="E38" s="51">
        <f t="shared" si="50"/>
        <v>166800</v>
      </c>
      <c r="F38" s="52">
        <f>E38-D38</f>
        <v>1400</v>
      </c>
      <c r="G38" s="15">
        <v>10.5</v>
      </c>
      <c r="H38" s="55">
        <v>0.03</v>
      </c>
      <c r="I38">
        <f t="shared" si="47"/>
        <v>441</v>
      </c>
      <c r="J38" s="52">
        <v>1</v>
      </c>
      <c r="K38" s="19">
        <f>(30*14)/1.3</f>
        <v>323.07692307692304</v>
      </c>
      <c r="L38" s="53">
        <f t="shared" si="51"/>
        <v>1.3650000000000002</v>
      </c>
      <c r="M38" s="54">
        <f>AD28</f>
        <v>0</v>
      </c>
      <c r="N38" s="54">
        <f t="shared" si="52"/>
        <v>1.3650000000000002</v>
      </c>
    </row>
    <row r="40" spans="1:14">
      <c r="I40" t="s">
        <v>34</v>
      </c>
      <c r="J40" t="s">
        <v>39</v>
      </c>
    </row>
    <row r="41" spans="1:14">
      <c r="H41" t="s">
        <v>77</v>
      </c>
      <c r="I41" s="57">
        <f>I6+I7+I11+I12+I14+I15+I17+I21+I22+I24+I25+I29+I30+I32+I33+I37+I38</f>
        <v>23289</v>
      </c>
      <c r="J41" s="57">
        <f>I41*2.4</f>
        <v>55893.599999999999</v>
      </c>
    </row>
    <row r="42" spans="1:14">
      <c r="H42" t="s">
        <v>0</v>
      </c>
      <c r="I42" s="57">
        <f>I10+I20+I28+I36</f>
        <v>26460</v>
      </c>
      <c r="J42" s="57">
        <f>I42*2.3</f>
        <v>60857.999999999993</v>
      </c>
    </row>
    <row r="44" spans="1:14" ht="15.75" thickBot="1">
      <c r="G44" s="144" t="s">
        <v>87</v>
      </c>
      <c r="H44" s="144"/>
      <c r="I44" s="144"/>
      <c r="J44" s="145" t="s">
        <v>41</v>
      </c>
      <c r="K44" s="145"/>
      <c r="L44" s="145"/>
    </row>
    <row r="45" spans="1:14">
      <c r="C45" s="34"/>
      <c r="D45" s="15" t="s">
        <v>78</v>
      </c>
      <c r="E45" s="52" t="s">
        <v>79</v>
      </c>
      <c r="G45" s="60" t="s">
        <v>78</v>
      </c>
      <c r="H45" s="61" t="s">
        <v>79</v>
      </c>
      <c r="I45" s="62" t="s">
        <v>80</v>
      </c>
      <c r="J45" s="60" t="s">
        <v>78</v>
      </c>
      <c r="K45" s="61" t="s">
        <v>79</v>
      </c>
      <c r="L45" s="62" t="s">
        <v>80</v>
      </c>
    </row>
    <row r="46" spans="1:14" ht="15.75" thickBot="1">
      <c r="G46" s="63">
        <f>I6+I11+I14+I24+I29+I32+I37+I21</f>
        <v>11718</v>
      </c>
      <c r="H46" s="64">
        <f>I7+I12+I15+I17+I22+I25+I30+I33+I38</f>
        <v>11571</v>
      </c>
      <c r="I46" s="65">
        <f>SUM(G46:H46)</f>
        <v>23289</v>
      </c>
      <c r="J46" s="63">
        <f>G46*2.4</f>
        <v>28123.200000000001</v>
      </c>
      <c r="K46" s="64">
        <f>H46*2.4</f>
        <v>27770.399999999998</v>
      </c>
      <c r="L46" s="65">
        <f>SUM(J46:K46)</f>
        <v>55893.599999999999</v>
      </c>
    </row>
    <row r="47" spans="1:14">
      <c r="B47" s="146" t="s">
        <v>85</v>
      </c>
      <c r="C47" s="17" t="s">
        <v>35</v>
      </c>
      <c r="D47" s="18">
        <v>0.48</v>
      </c>
      <c r="E47" s="18">
        <v>0.47</v>
      </c>
      <c r="G47" s="67">
        <f>$G$46*D47</f>
        <v>5624.6399999999994</v>
      </c>
      <c r="H47" s="68">
        <f>$H$46*E47</f>
        <v>5438.37</v>
      </c>
      <c r="I47" s="69">
        <f>G47+H47</f>
        <v>11063.009999999998</v>
      </c>
      <c r="J47" s="70">
        <f>$J$46*D47</f>
        <v>13499.136</v>
      </c>
      <c r="K47" s="71">
        <f>$K$46*E47</f>
        <v>13052.087999999998</v>
      </c>
      <c r="L47" s="72">
        <f t="shared" ref="L47:L53" si="53">J47+K47</f>
        <v>26551.223999999998</v>
      </c>
      <c r="M47" s="66" t="s">
        <v>35</v>
      </c>
    </row>
    <row r="48" spans="1:14">
      <c r="B48" s="147"/>
      <c r="C48" s="17" t="s">
        <v>49</v>
      </c>
      <c r="D48" s="18">
        <v>0.32</v>
      </c>
      <c r="E48" s="18">
        <v>0.41</v>
      </c>
      <c r="G48" s="73">
        <f t="shared" ref="G48:G51" si="54">$G$46*D48</f>
        <v>3749.76</v>
      </c>
      <c r="H48" s="1"/>
      <c r="I48" s="74">
        <f>G48+H48</f>
        <v>3749.76</v>
      </c>
      <c r="J48" s="75">
        <f t="shared" ref="J48:J51" si="55">$J$46*D48</f>
        <v>8999.4240000000009</v>
      </c>
      <c r="K48" s="76"/>
      <c r="L48" s="77">
        <f t="shared" si="53"/>
        <v>8999.4240000000009</v>
      </c>
      <c r="M48" s="66" t="s">
        <v>49</v>
      </c>
    </row>
    <row r="49" spans="2:13">
      <c r="B49" s="147"/>
      <c r="C49" s="17" t="s">
        <v>81</v>
      </c>
      <c r="D49" s="18"/>
      <c r="E49" s="18">
        <v>0.41</v>
      </c>
      <c r="G49" s="73"/>
      <c r="H49" s="76">
        <f>$H$46*E49</f>
        <v>4744.1099999999997</v>
      </c>
      <c r="I49" s="74">
        <f>G49+H49</f>
        <v>4744.1099999999997</v>
      </c>
      <c r="J49" s="75"/>
      <c r="K49" s="76">
        <f>$K$46*E49</f>
        <v>11385.863999999998</v>
      </c>
      <c r="L49" s="77">
        <f t="shared" si="53"/>
        <v>11385.863999999998</v>
      </c>
      <c r="M49" s="66" t="s">
        <v>81</v>
      </c>
    </row>
    <row r="50" spans="2:13">
      <c r="B50" s="147"/>
      <c r="C50" s="17" t="s">
        <v>36</v>
      </c>
      <c r="D50" s="18">
        <v>0</v>
      </c>
      <c r="E50" s="18">
        <v>0</v>
      </c>
      <c r="G50" s="73">
        <f t="shared" si="54"/>
        <v>0</v>
      </c>
      <c r="H50" s="78">
        <f t="shared" ref="H50:H51" si="56">$H$46*E50</f>
        <v>0</v>
      </c>
      <c r="I50" s="74">
        <f>G50+H50</f>
        <v>0</v>
      </c>
      <c r="J50" s="75">
        <f t="shared" si="55"/>
        <v>0</v>
      </c>
      <c r="K50" s="76">
        <f t="shared" ref="K50:K51" si="57">$K$46*E50</f>
        <v>0</v>
      </c>
      <c r="L50" s="77">
        <f t="shared" si="53"/>
        <v>0</v>
      </c>
      <c r="M50" s="66" t="s">
        <v>82</v>
      </c>
    </row>
    <row r="51" spans="2:13">
      <c r="B51" s="147"/>
      <c r="C51" s="17" t="s">
        <v>37</v>
      </c>
      <c r="D51" s="18">
        <v>0.2</v>
      </c>
      <c r="E51" s="18">
        <v>0.12</v>
      </c>
      <c r="G51" s="73">
        <f t="shared" si="54"/>
        <v>2343.6</v>
      </c>
      <c r="H51" s="78">
        <f t="shared" si="56"/>
        <v>1388.52</v>
      </c>
      <c r="I51" s="74">
        <f>G51+H51</f>
        <v>3732.12</v>
      </c>
      <c r="J51" s="75">
        <f t="shared" si="55"/>
        <v>5624.64</v>
      </c>
      <c r="K51" s="76">
        <f t="shared" si="57"/>
        <v>3332.4479999999994</v>
      </c>
      <c r="L51" s="77">
        <f t="shared" si="53"/>
        <v>8957.0879999999997</v>
      </c>
      <c r="M51" s="66" t="s">
        <v>37</v>
      </c>
    </row>
    <row r="52" spans="2:13">
      <c r="B52" s="147"/>
      <c r="C52" s="17" t="s">
        <v>38</v>
      </c>
      <c r="D52" s="16">
        <v>110</v>
      </c>
      <c r="E52" s="16">
        <v>110</v>
      </c>
      <c r="G52" s="79"/>
      <c r="H52" s="1"/>
      <c r="I52" s="1"/>
      <c r="J52" s="74">
        <f>G46*D52/1000</f>
        <v>1288.98</v>
      </c>
      <c r="K52" s="74">
        <f>H46*E52/1000</f>
        <v>1272.81</v>
      </c>
      <c r="L52" s="77">
        <f t="shared" si="53"/>
        <v>2561.79</v>
      </c>
      <c r="M52" s="66" t="s">
        <v>83</v>
      </c>
    </row>
    <row r="53" spans="2:13" ht="15.75" thickBot="1">
      <c r="B53" s="147"/>
      <c r="C53" s="17" t="s">
        <v>40</v>
      </c>
      <c r="D53" s="16">
        <v>32</v>
      </c>
      <c r="E53" s="16">
        <v>32</v>
      </c>
      <c r="G53" s="58"/>
      <c r="H53" s="59"/>
      <c r="I53" s="59"/>
      <c r="J53" s="80">
        <f>J52/D53</f>
        <v>40.280625000000001</v>
      </c>
      <c r="K53" s="80">
        <f>K52/E53</f>
        <v>39.775312499999998</v>
      </c>
      <c r="L53" s="81">
        <f t="shared" si="53"/>
        <v>80.055937499999999</v>
      </c>
      <c r="M53" s="66" t="s">
        <v>40</v>
      </c>
    </row>
    <row r="54" spans="2:13" ht="15.75" thickBot="1">
      <c r="G54" s="144" t="s">
        <v>87</v>
      </c>
      <c r="H54" s="144"/>
      <c r="I54" s="144"/>
      <c r="J54" s="145" t="s">
        <v>41</v>
      </c>
      <c r="K54" s="145"/>
      <c r="L54" s="145"/>
    </row>
    <row r="55" spans="2:13">
      <c r="C55" s="17" t="s">
        <v>84</v>
      </c>
      <c r="D55" s="18">
        <v>0.38</v>
      </c>
      <c r="G55" s="82"/>
      <c r="H55" s="83"/>
      <c r="I55" s="87">
        <f>I42*D55*1.35</f>
        <v>13573.98</v>
      </c>
      <c r="J55" s="83"/>
      <c r="K55" s="83"/>
      <c r="L55" s="84">
        <f>I55*1.443</f>
        <v>19587.253140000001</v>
      </c>
      <c r="M55" s="17" t="s">
        <v>84</v>
      </c>
    </row>
    <row r="56" spans="2:13">
      <c r="C56" s="17" t="s">
        <v>86</v>
      </c>
      <c r="D56" s="20">
        <v>0.05</v>
      </c>
      <c r="G56" s="79"/>
      <c r="H56" s="1"/>
      <c r="I56" s="1"/>
      <c r="J56" s="1"/>
      <c r="K56" s="1"/>
      <c r="L56" s="85">
        <f>I42*2.3*D56</f>
        <v>3042.8999999999996</v>
      </c>
      <c r="M56" s="17" t="s">
        <v>86</v>
      </c>
    </row>
    <row r="57" spans="2:13" ht="15.75" thickBot="1">
      <c r="C57" s="17" t="s">
        <v>40</v>
      </c>
      <c r="D57">
        <v>25</v>
      </c>
      <c r="G57" s="58"/>
      <c r="H57" s="59"/>
      <c r="I57" s="59"/>
      <c r="J57" s="59"/>
      <c r="K57" s="59"/>
      <c r="L57" s="86">
        <f>L56/D57</f>
        <v>121.71599999999998</v>
      </c>
      <c r="M57" s="17" t="s">
        <v>40</v>
      </c>
    </row>
  </sheetData>
  <mergeCells count="12">
    <mergeCell ref="G44:I44"/>
    <mergeCell ref="J44:L44"/>
    <mergeCell ref="B47:B53"/>
    <mergeCell ref="G54:I54"/>
    <mergeCell ref="J54:L54"/>
    <mergeCell ref="GG1:HK1"/>
    <mergeCell ref="O1:AI1"/>
    <mergeCell ref="AJ1:BN1"/>
    <mergeCell ref="BO1:CS1"/>
    <mergeCell ref="CT1:DW1"/>
    <mergeCell ref="DX1:FB1"/>
    <mergeCell ref="FC1:G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K61"/>
  <sheetViews>
    <sheetView topLeftCell="A9" workbookViewId="0">
      <selection activeCell="K27" sqref="K27"/>
    </sheetView>
  </sheetViews>
  <sheetFormatPr baseColWidth="10" defaultColWidth="11.42578125" defaultRowHeight="15"/>
  <cols>
    <col min="3" max="3" width="13.7109375" bestFit="1" customWidth="1"/>
    <col min="15" max="15" width="3.140625" bestFit="1" customWidth="1"/>
    <col min="16" max="16" width="3.7109375" bestFit="1" customWidth="1"/>
    <col min="17" max="17" width="3.42578125" bestFit="1" customWidth="1"/>
    <col min="18" max="18" width="4" bestFit="1" customWidth="1"/>
    <col min="19" max="19" width="3.140625" bestFit="1" customWidth="1"/>
    <col min="20" max="20" width="3.7109375" bestFit="1" customWidth="1"/>
    <col min="21" max="21" width="4.5703125" customWidth="1"/>
    <col min="22" max="22" width="3.140625" bestFit="1" customWidth="1"/>
    <col min="23" max="23" width="3.7109375" bestFit="1" customWidth="1"/>
    <col min="24" max="24" width="3.5703125" bestFit="1" customWidth="1"/>
    <col min="25" max="25" width="3.140625" bestFit="1" customWidth="1"/>
    <col min="26" max="26" width="3" bestFit="1" customWidth="1"/>
    <col min="27" max="27" width="3.42578125" bestFit="1" customWidth="1"/>
    <col min="28" max="28" width="4" bestFit="1" customWidth="1"/>
    <col min="29" max="29" width="3.140625" bestFit="1" customWidth="1"/>
    <col min="30" max="30" width="3.7109375" bestFit="1" customWidth="1"/>
    <col min="31" max="31" width="3.5703125" bestFit="1" customWidth="1"/>
    <col min="32" max="32" width="3.140625" bestFit="1" customWidth="1"/>
    <col min="33" max="33" width="3" bestFit="1" customWidth="1"/>
    <col min="34" max="34" width="3.42578125" bestFit="1" customWidth="1"/>
    <col min="35" max="35" width="4" bestFit="1" customWidth="1"/>
    <col min="36" max="36" width="3.140625" bestFit="1" customWidth="1"/>
    <col min="37" max="37" width="3.7109375" bestFit="1" customWidth="1"/>
    <col min="38" max="38" width="3.5703125" bestFit="1" customWidth="1"/>
    <col min="39" max="39" width="3.140625" bestFit="1" customWidth="1"/>
    <col min="40" max="40" width="3" bestFit="1" customWidth="1"/>
    <col min="41" max="41" width="3.42578125" bestFit="1" customWidth="1"/>
    <col min="42" max="42" width="4" bestFit="1" customWidth="1"/>
    <col min="43" max="43" width="3.140625" bestFit="1" customWidth="1"/>
    <col min="44" max="44" width="3.7109375" bestFit="1" customWidth="1"/>
    <col min="45" max="45" width="3.5703125" bestFit="1" customWidth="1"/>
    <col min="46" max="46" width="3.140625" bestFit="1" customWidth="1"/>
    <col min="47" max="47" width="3" bestFit="1" customWidth="1"/>
    <col min="48" max="48" width="3.42578125" bestFit="1" customWidth="1"/>
    <col min="49" max="49" width="4" bestFit="1" customWidth="1"/>
    <col min="50" max="50" width="3.140625" bestFit="1" customWidth="1"/>
    <col min="51" max="51" width="3.7109375" bestFit="1" customWidth="1"/>
    <col min="52" max="52" width="3.5703125" bestFit="1" customWidth="1"/>
    <col min="53" max="53" width="3.140625" bestFit="1" customWidth="1"/>
    <col min="54" max="54" width="3" bestFit="1" customWidth="1"/>
    <col min="55" max="55" width="3.42578125" bestFit="1" customWidth="1"/>
    <col min="56" max="56" width="4" bestFit="1" customWidth="1"/>
    <col min="57" max="57" width="3.140625" bestFit="1" customWidth="1"/>
    <col min="58" max="58" width="3.7109375" bestFit="1" customWidth="1"/>
    <col min="59" max="59" width="3.5703125" bestFit="1" customWidth="1"/>
    <col min="60" max="60" width="3.140625" bestFit="1" customWidth="1"/>
    <col min="61" max="61" width="3" bestFit="1" customWidth="1"/>
    <col min="62" max="62" width="3.42578125" bestFit="1" customWidth="1"/>
    <col min="63" max="63" width="4" bestFit="1" customWidth="1"/>
    <col min="64" max="64" width="3.140625" bestFit="1" customWidth="1"/>
    <col min="65" max="65" width="3.7109375" bestFit="1" customWidth="1"/>
    <col min="66" max="66" width="3.5703125" bestFit="1" customWidth="1"/>
    <col min="67" max="67" width="3.140625" bestFit="1" customWidth="1"/>
    <col min="68" max="68" width="3" bestFit="1" customWidth="1"/>
    <col min="69" max="69" width="3.42578125" bestFit="1" customWidth="1"/>
    <col min="70" max="70" width="4" bestFit="1" customWidth="1"/>
    <col min="71" max="71" width="3.140625" bestFit="1" customWidth="1"/>
    <col min="72" max="72" width="3.7109375" bestFit="1" customWidth="1"/>
    <col min="73" max="73" width="3.5703125" bestFit="1" customWidth="1"/>
    <col min="74" max="74" width="3.140625" bestFit="1" customWidth="1"/>
    <col min="75" max="75" width="3" bestFit="1" customWidth="1"/>
    <col min="76" max="76" width="3.42578125" bestFit="1" customWidth="1"/>
    <col min="77" max="77" width="4" bestFit="1" customWidth="1"/>
    <col min="78" max="78" width="3.140625" bestFit="1" customWidth="1"/>
    <col min="79" max="79" width="3.7109375" bestFit="1" customWidth="1"/>
    <col min="80" max="80" width="3.5703125" bestFit="1" customWidth="1"/>
    <col min="81" max="81" width="3.140625" bestFit="1" customWidth="1"/>
    <col min="82" max="82" width="3" bestFit="1" customWidth="1"/>
    <col min="83" max="83" width="3.42578125" bestFit="1" customWidth="1"/>
    <col min="84" max="84" width="4" bestFit="1" customWidth="1"/>
    <col min="85" max="85" width="3.140625" bestFit="1" customWidth="1"/>
    <col min="86" max="86" width="3.7109375" bestFit="1" customWidth="1"/>
    <col min="87" max="87" width="3.5703125" bestFit="1" customWidth="1"/>
    <col min="88" max="88" width="3.140625" bestFit="1" customWidth="1"/>
    <col min="89" max="89" width="3" bestFit="1" customWidth="1"/>
    <col min="90" max="90" width="3.42578125" bestFit="1" customWidth="1"/>
    <col min="91" max="91" width="4" bestFit="1" customWidth="1"/>
    <col min="92" max="92" width="3.140625" bestFit="1" customWidth="1"/>
    <col min="93" max="93" width="3.7109375" bestFit="1" customWidth="1"/>
    <col min="94" max="94" width="3.5703125" bestFit="1" customWidth="1"/>
    <col min="95" max="95" width="3.140625" bestFit="1" customWidth="1"/>
    <col min="96" max="96" width="3" bestFit="1" customWidth="1"/>
    <col min="97" max="97" width="3.42578125" bestFit="1" customWidth="1"/>
    <col min="98" max="98" width="4" bestFit="1" customWidth="1"/>
    <col min="99" max="99" width="3.140625" bestFit="1" customWidth="1"/>
    <col min="100" max="100" width="3.7109375" bestFit="1" customWidth="1"/>
    <col min="101" max="101" width="3.5703125" bestFit="1" customWidth="1"/>
    <col min="102" max="102" width="3.140625" bestFit="1" customWidth="1"/>
    <col min="103" max="103" width="3" bestFit="1" customWidth="1"/>
    <col min="104" max="104" width="3.42578125" bestFit="1" customWidth="1"/>
    <col min="105" max="105" width="4" bestFit="1" customWidth="1"/>
    <col min="106" max="106" width="3.140625" bestFit="1" customWidth="1"/>
    <col min="107" max="107" width="3.7109375" bestFit="1" customWidth="1"/>
    <col min="108" max="108" width="3.5703125" bestFit="1" customWidth="1"/>
    <col min="109" max="109" width="3.140625" bestFit="1" customWidth="1"/>
    <col min="110" max="110" width="3" bestFit="1" customWidth="1"/>
    <col min="111" max="111" width="3.42578125" bestFit="1" customWidth="1"/>
    <col min="112" max="112" width="4" bestFit="1" customWidth="1"/>
    <col min="113" max="113" width="3.140625" bestFit="1" customWidth="1"/>
    <col min="114" max="114" width="3.7109375" bestFit="1" customWidth="1"/>
    <col min="115" max="115" width="3.5703125" bestFit="1" customWidth="1"/>
    <col min="116" max="116" width="3.140625" bestFit="1" customWidth="1"/>
    <col min="117" max="117" width="3" bestFit="1" customWidth="1"/>
    <col min="118" max="118" width="3.42578125" bestFit="1" customWidth="1"/>
    <col min="119" max="119" width="4" bestFit="1" customWidth="1"/>
    <col min="120" max="120" width="3.140625" bestFit="1" customWidth="1"/>
    <col min="121" max="121" width="3.7109375" bestFit="1" customWidth="1"/>
    <col min="122" max="122" width="3.5703125" bestFit="1" customWidth="1"/>
    <col min="123" max="123" width="3.140625" bestFit="1" customWidth="1"/>
    <col min="124" max="124" width="3" bestFit="1" customWidth="1"/>
    <col min="125" max="125" width="3.42578125" bestFit="1" customWidth="1"/>
    <col min="126" max="126" width="4" bestFit="1" customWidth="1"/>
    <col min="127" max="127" width="3.140625" bestFit="1" customWidth="1"/>
    <col min="128" max="128" width="3.7109375" bestFit="1" customWidth="1"/>
    <col min="129" max="129" width="3.5703125" bestFit="1" customWidth="1"/>
    <col min="130" max="130" width="3.140625" bestFit="1" customWidth="1"/>
    <col min="131" max="131" width="3" bestFit="1" customWidth="1"/>
    <col min="132" max="132" width="3.42578125" bestFit="1" customWidth="1"/>
    <col min="133" max="133" width="4" bestFit="1" customWidth="1"/>
    <col min="134" max="134" width="3.140625" bestFit="1" customWidth="1"/>
    <col min="135" max="135" width="3.7109375" bestFit="1" customWidth="1"/>
    <col min="136" max="136" width="3.5703125" bestFit="1" customWidth="1"/>
    <col min="137" max="137" width="3.140625" bestFit="1" customWidth="1"/>
    <col min="138" max="138" width="3" bestFit="1" customWidth="1"/>
    <col min="139" max="139" width="3.42578125" bestFit="1" customWidth="1"/>
    <col min="140" max="140" width="4" bestFit="1" customWidth="1"/>
    <col min="141" max="141" width="3.140625" bestFit="1" customWidth="1"/>
    <col min="142" max="142" width="3.7109375" bestFit="1" customWidth="1"/>
    <col min="143" max="143" width="3.5703125" bestFit="1" customWidth="1"/>
    <col min="144" max="144" width="3.140625" bestFit="1" customWidth="1"/>
    <col min="145" max="145" width="3" bestFit="1" customWidth="1"/>
    <col min="146" max="146" width="3.42578125" bestFit="1" customWidth="1"/>
    <col min="147" max="147" width="4" bestFit="1" customWidth="1"/>
    <col min="148" max="148" width="3.140625" bestFit="1" customWidth="1"/>
    <col min="149" max="149" width="3.7109375" bestFit="1" customWidth="1"/>
    <col min="150" max="150" width="3.5703125" bestFit="1" customWidth="1"/>
    <col min="151" max="151" width="3.140625" bestFit="1" customWidth="1"/>
    <col min="152" max="152" width="3" bestFit="1" customWidth="1"/>
    <col min="153" max="153" width="3.42578125" bestFit="1" customWidth="1"/>
    <col min="154" max="154" width="4" bestFit="1" customWidth="1"/>
    <col min="155" max="155" width="3.140625" bestFit="1" customWidth="1"/>
    <col min="156" max="156" width="3.7109375" bestFit="1" customWidth="1"/>
    <col min="157" max="157" width="3.5703125" bestFit="1" customWidth="1"/>
    <col min="158" max="158" width="3.140625" bestFit="1" customWidth="1"/>
    <col min="159" max="159" width="3" bestFit="1" customWidth="1"/>
    <col min="160" max="160" width="3.42578125" bestFit="1" customWidth="1"/>
    <col min="161" max="161" width="4" bestFit="1" customWidth="1"/>
    <col min="162" max="162" width="3.140625" bestFit="1" customWidth="1"/>
    <col min="163" max="163" width="3.7109375" bestFit="1" customWidth="1"/>
    <col min="164" max="164" width="3.5703125" bestFit="1" customWidth="1"/>
    <col min="165" max="165" width="3.140625" bestFit="1" customWidth="1"/>
    <col min="166" max="166" width="3" bestFit="1" customWidth="1"/>
    <col min="167" max="167" width="3.42578125" bestFit="1" customWidth="1"/>
    <col min="168" max="168" width="4" bestFit="1" customWidth="1"/>
    <col min="169" max="169" width="3.140625" bestFit="1" customWidth="1"/>
    <col min="170" max="170" width="3.7109375" bestFit="1" customWidth="1"/>
    <col min="171" max="171" width="3.5703125" bestFit="1" customWidth="1"/>
    <col min="172" max="172" width="3.140625" bestFit="1" customWidth="1"/>
    <col min="173" max="173" width="3" bestFit="1" customWidth="1"/>
    <col min="174" max="174" width="3.42578125" bestFit="1" customWidth="1"/>
    <col min="175" max="175" width="4" bestFit="1" customWidth="1"/>
    <col min="176" max="176" width="3.140625" bestFit="1" customWidth="1"/>
    <col min="177" max="177" width="3.7109375" bestFit="1" customWidth="1"/>
    <col min="178" max="178" width="3.5703125" bestFit="1" customWidth="1"/>
    <col min="179" max="179" width="3.140625" bestFit="1" customWidth="1"/>
    <col min="180" max="180" width="3" bestFit="1" customWidth="1"/>
    <col min="181" max="181" width="3.42578125" bestFit="1" customWidth="1"/>
    <col min="182" max="182" width="4" bestFit="1" customWidth="1"/>
    <col min="183" max="183" width="3.140625" bestFit="1" customWidth="1"/>
    <col min="184" max="184" width="3.7109375" bestFit="1" customWidth="1"/>
    <col min="185" max="185" width="3.5703125" bestFit="1" customWidth="1"/>
    <col min="186" max="186" width="3.140625" bestFit="1" customWidth="1"/>
    <col min="187" max="187" width="3" bestFit="1" customWidth="1"/>
    <col min="188" max="188" width="3.42578125" bestFit="1" customWidth="1"/>
    <col min="189" max="189" width="4" bestFit="1" customWidth="1"/>
    <col min="190" max="190" width="3.140625" bestFit="1" customWidth="1"/>
    <col min="191" max="191" width="3.7109375" bestFit="1" customWidth="1"/>
    <col min="192" max="192" width="3.5703125" bestFit="1" customWidth="1"/>
    <col min="193" max="193" width="3.140625" bestFit="1" customWidth="1"/>
    <col min="194" max="194" width="3" bestFit="1" customWidth="1"/>
    <col min="195" max="195" width="3.42578125" bestFit="1" customWidth="1"/>
    <col min="196" max="196" width="4" bestFit="1" customWidth="1"/>
    <col min="197" max="197" width="3.140625" bestFit="1" customWidth="1"/>
    <col min="198" max="198" width="3.7109375" bestFit="1" customWidth="1"/>
    <col min="199" max="199" width="3.5703125" bestFit="1" customWidth="1"/>
    <col min="200" max="200" width="3.140625" bestFit="1" customWidth="1"/>
    <col min="201" max="201" width="3" bestFit="1" customWidth="1"/>
    <col min="202" max="202" width="3.42578125" bestFit="1" customWidth="1"/>
    <col min="203" max="203" width="4" bestFit="1" customWidth="1"/>
    <col min="204" max="204" width="3.140625" bestFit="1" customWidth="1"/>
    <col min="205" max="205" width="3.7109375" bestFit="1" customWidth="1"/>
    <col min="206" max="206" width="3.5703125" bestFit="1" customWidth="1"/>
    <col min="207" max="207" width="3.140625" bestFit="1" customWidth="1"/>
    <col min="208" max="208" width="3" bestFit="1" customWidth="1"/>
    <col min="209" max="209" width="3.42578125" bestFit="1" customWidth="1"/>
    <col min="210" max="210" width="4" bestFit="1" customWidth="1"/>
    <col min="211" max="211" width="3.140625" bestFit="1" customWidth="1"/>
    <col min="212" max="212" width="3.7109375" bestFit="1" customWidth="1"/>
    <col min="213" max="213" width="3.5703125" bestFit="1" customWidth="1"/>
    <col min="214" max="214" width="3.140625" bestFit="1" customWidth="1"/>
    <col min="215" max="215" width="3" bestFit="1" customWidth="1"/>
    <col min="216" max="216" width="3.42578125" bestFit="1" customWidth="1"/>
    <col min="217" max="217" width="4" bestFit="1" customWidth="1"/>
    <col min="218" max="218" width="3.140625" bestFit="1" customWidth="1"/>
    <col min="219" max="219" width="3.7109375" bestFit="1" customWidth="1"/>
  </cols>
  <sheetData>
    <row r="1" spans="1:219">
      <c r="A1" s="33"/>
      <c r="B1" s="33"/>
      <c r="O1" s="143" t="s">
        <v>88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 t="s">
        <v>89</v>
      </c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 t="s">
        <v>90</v>
      </c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 t="s">
        <v>91</v>
      </c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 t="s">
        <v>92</v>
      </c>
      <c r="DY1" s="143"/>
      <c r="DZ1" s="143"/>
      <c r="EA1" s="143"/>
      <c r="EB1" s="143"/>
      <c r="EC1" s="143"/>
      <c r="ED1" s="143"/>
      <c r="EE1" s="143"/>
      <c r="EF1" s="143"/>
      <c r="EG1" s="143"/>
      <c r="EH1" s="143"/>
      <c r="EI1" s="143"/>
      <c r="EJ1" s="143"/>
      <c r="EK1" s="143"/>
      <c r="EL1" s="143"/>
      <c r="EM1" s="143"/>
      <c r="EN1" s="143"/>
      <c r="EO1" s="143"/>
      <c r="EP1" s="143"/>
      <c r="EQ1" s="143"/>
      <c r="ER1" s="143"/>
      <c r="ES1" s="143"/>
      <c r="ET1" s="143"/>
      <c r="EU1" s="143"/>
      <c r="EV1" s="143"/>
      <c r="EW1" s="143"/>
      <c r="EX1" s="143"/>
      <c r="EY1" s="143"/>
      <c r="EZ1" s="143"/>
      <c r="FA1" s="143"/>
      <c r="FB1" s="143"/>
      <c r="FC1" s="143" t="s">
        <v>93</v>
      </c>
      <c r="FD1" s="143"/>
      <c r="FE1" s="143"/>
      <c r="FF1" s="143"/>
      <c r="FG1" s="143"/>
      <c r="FH1" s="143"/>
      <c r="FI1" s="143"/>
      <c r="FJ1" s="143"/>
      <c r="FK1" s="143"/>
      <c r="FL1" s="143"/>
      <c r="FM1" s="143"/>
      <c r="FN1" s="143"/>
      <c r="FO1" s="143"/>
      <c r="FP1" s="143"/>
      <c r="FQ1" s="143"/>
      <c r="FR1" s="143"/>
      <c r="FS1" s="143"/>
      <c r="FT1" s="143"/>
      <c r="FU1" s="143"/>
      <c r="FV1" s="143"/>
      <c r="FW1" s="143"/>
      <c r="FX1" s="143"/>
      <c r="FY1" s="143"/>
      <c r="FZ1" s="143"/>
      <c r="GA1" s="143"/>
      <c r="GB1" s="143"/>
      <c r="GC1" s="143"/>
      <c r="GD1" s="143"/>
      <c r="GE1" s="143"/>
      <c r="GF1" s="143"/>
      <c r="GG1" s="143" t="s">
        <v>94</v>
      </c>
      <c r="GH1" s="143"/>
      <c r="GI1" s="143"/>
      <c r="GJ1" s="143"/>
      <c r="GK1" s="143"/>
      <c r="GL1" s="143"/>
      <c r="GM1" s="143"/>
      <c r="GN1" s="143"/>
      <c r="GO1" s="143"/>
      <c r="GP1" s="143"/>
      <c r="GQ1" s="143"/>
      <c r="GR1" s="143"/>
      <c r="GS1" s="143"/>
      <c r="GT1" s="143"/>
      <c r="GU1" s="143"/>
      <c r="GV1" s="143"/>
      <c r="GW1" s="143"/>
      <c r="GX1" s="143"/>
      <c r="GY1" s="143"/>
      <c r="GZ1" s="143"/>
      <c r="HA1" s="143"/>
      <c r="HB1" s="143"/>
      <c r="HC1" s="143"/>
      <c r="HD1" s="143"/>
      <c r="HE1" s="143"/>
      <c r="HF1" s="143"/>
      <c r="HG1" s="143"/>
      <c r="HH1" s="143"/>
      <c r="HI1" s="143"/>
      <c r="HJ1" s="143"/>
      <c r="HK1" s="143"/>
    </row>
    <row r="2" spans="1:219" ht="15" customHeight="1">
      <c r="A2" s="34"/>
      <c r="B2" s="34"/>
      <c r="D2" s="35" t="s">
        <v>51</v>
      </c>
      <c r="E2" s="35" t="s">
        <v>52</v>
      </c>
      <c r="F2" s="35" t="s">
        <v>53</v>
      </c>
      <c r="G2" s="35" t="s">
        <v>54</v>
      </c>
      <c r="H2" s="35" t="s">
        <v>55</v>
      </c>
      <c r="I2" s="35" t="s">
        <v>56</v>
      </c>
      <c r="J2" s="35" t="s">
        <v>57</v>
      </c>
      <c r="K2" s="35" t="s">
        <v>58</v>
      </c>
      <c r="L2" s="35" t="s">
        <v>59</v>
      </c>
      <c r="M2" s="36" t="s">
        <v>60</v>
      </c>
      <c r="N2" s="36" t="s">
        <v>61</v>
      </c>
      <c r="O2" s="37">
        <v>43626</v>
      </c>
      <c r="P2" s="37">
        <v>43627</v>
      </c>
      <c r="Q2" s="37">
        <v>43628</v>
      </c>
      <c r="R2" s="37">
        <v>43629</v>
      </c>
      <c r="S2" s="37">
        <v>43630</v>
      </c>
      <c r="T2" s="37">
        <v>43631</v>
      </c>
      <c r="U2" s="37">
        <v>43632</v>
      </c>
      <c r="V2" s="37">
        <v>43633</v>
      </c>
      <c r="W2" s="37">
        <v>43634</v>
      </c>
      <c r="X2" s="37">
        <v>43635</v>
      </c>
      <c r="Y2" s="37">
        <v>43636</v>
      </c>
      <c r="Z2" s="37">
        <v>43637</v>
      </c>
      <c r="AA2" s="37">
        <v>43638</v>
      </c>
      <c r="AB2" s="37">
        <v>43639</v>
      </c>
      <c r="AC2" s="37">
        <v>43640</v>
      </c>
      <c r="AD2" s="37">
        <v>43641</v>
      </c>
      <c r="AE2" s="37">
        <v>43642</v>
      </c>
      <c r="AF2" s="37">
        <v>43643</v>
      </c>
      <c r="AG2" s="37">
        <v>43644</v>
      </c>
      <c r="AH2" s="37">
        <v>43645</v>
      </c>
      <c r="AI2" s="37">
        <v>43646</v>
      </c>
      <c r="AJ2" s="37">
        <v>43647</v>
      </c>
      <c r="AK2" s="37">
        <v>43648</v>
      </c>
      <c r="AL2" s="37">
        <v>43649</v>
      </c>
      <c r="AM2" s="37">
        <v>43650</v>
      </c>
      <c r="AN2" s="37">
        <v>43651</v>
      </c>
      <c r="AO2" s="37">
        <v>43652</v>
      </c>
      <c r="AP2" s="37">
        <v>43653</v>
      </c>
      <c r="AQ2" s="37">
        <v>43654</v>
      </c>
      <c r="AR2" s="37">
        <v>43655</v>
      </c>
      <c r="AS2" s="37">
        <v>43656</v>
      </c>
      <c r="AT2" s="37">
        <v>43657</v>
      </c>
      <c r="AU2" s="37">
        <v>43658</v>
      </c>
      <c r="AV2" s="37">
        <v>43659</v>
      </c>
      <c r="AW2" s="37">
        <v>43660</v>
      </c>
      <c r="AX2" s="37">
        <v>43661</v>
      </c>
      <c r="AY2" s="37">
        <v>43662</v>
      </c>
      <c r="AZ2" s="37">
        <v>43663</v>
      </c>
      <c r="BA2" s="37">
        <v>43664</v>
      </c>
      <c r="BB2" s="37">
        <v>43665</v>
      </c>
      <c r="BC2" s="37">
        <v>43666</v>
      </c>
      <c r="BD2" s="37">
        <v>43667</v>
      </c>
      <c r="BE2" s="37">
        <v>43668</v>
      </c>
      <c r="BF2" s="37">
        <v>43669</v>
      </c>
      <c r="BG2" s="37">
        <v>43670</v>
      </c>
      <c r="BH2" s="37">
        <v>43671</v>
      </c>
      <c r="BI2" s="37">
        <v>43672</v>
      </c>
      <c r="BJ2" s="37">
        <v>43673</v>
      </c>
      <c r="BK2" s="37">
        <v>43674</v>
      </c>
      <c r="BL2" s="37">
        <v>43675</v>
      </c>
      <c r="BM2" s="37">
        <v>43676</v>
      </c>
      <c r="BN2" s="37">
        <v>43677</v>
      </c>
      <c r="BO2" s="37">
        <v>43678</v>
      </c>
      <c r="BP2" s="37">
        <v>43679</v>
      </c>
      <c r="BQ2" s="37">
        <v>43680</v>
      </c>
      <c r="BR2" s="37">
        <v>43681</v>
      </c>
      <c r="BS2" s="37">
        <v>43682</v>
      </c>
      <c r="BT2" s="37">
        <v>43683</v>
      </c>
      <c r="BU2" s="37">
        <v>43684</v>
      </c>
      <c r="BV2" s="37">
        <v>43685</v>
      </c>
      <c r="BW2" s="37">
        <v>43686</v>
      </c>
      <c r="BX2" s="37">
        <v>43687</v>
      </c>
      <c r="BY2" s="37">
        <v>43688</v>
      </c>
      <c r="BZ2" s="37">
        <v>43689</v>
      </c>
      <c r="CA2" s="37">
        <v>43690</v>
      </c>
      <c r="CB2" s="37">
        <v>43691</v>
      </c>
      <c r="CC2" s="37">
        <v>43692</v>
      </c>
      <c r="CD2" s="37">
        <v>43693</v>
      </c>
      <c r="CE2" s="37">
        <v>43694</v>
      </c>
      <c r="CF2" s="37">
        <v>43695</v>
      </c>
      <c r="CG2" s="37">
        <v>43696</v>
      </c>
      <c r="CH2" s="37">
        <v>43697</v>
      </c>
      <c r="CI2" s="37">
        <v>43698</v>
      </c>
      <c r="CJ2" s="37">
        <v>43699</v>
      </c>
      <c r="CK2" s="37">
        <v>43700</v>
      </c>
      <c r="CL2" s="37">
        <v>43701</v>
      </c>
      <c r="CM2" s="37">
        <v>43702</v>
      </c>
      <c r="CN2" s="37">
        <v>43703</v>
      </c>
      <c r="CO2" s="37">
        <v>43704</v>
      </c>
      <c r="CP2" s="37">
        <v>43705</v>
      </c>
      <c r="CQ2" s="37">
        <v>43706</v>
      </c>
      <c r="CR2" s="37">
        <v>43707</v>
      </c>
      <c r="CS2" s="37">
        <v>43708</v>
      </c>
      <c r="CT2" s="37">
        <v>43709</v>
      </c>
      <c r="CU2" s="37">
        <v>43710</v>
      </c>
      <c r="CV2" s="37">
        <v>43711</v>
      </c>
      <c r="CW2" s="37">
        <v>43712</v>
      </c>
      <c r="CX2" s="37">
        <v>43713</v>
      </c>
      <c r="CY2" s="37">
        <v>43714</v>
      </c>
      <c r="CZ2" s="37">
        <v>43715</v>
      </c>
      <c r="DA2" s="37">
        <v>43716</v>
      </c>
      <c r="DB2" s="37">
        <v>43717</v>
      </c>
      <c r="DC2" s="37">
        <v>43718</v>
      </c>
      <c r="DD2" s="37">
        <v>43719</v>
      </c>
      <c r="DE2" s="37">
        <v>43720</v>
      </c>
      <c r="DF2" s="37">
        <v>43721</v>
      </c>
      <c r="DG2" s="37">
        <v>43722</v>
      </c>
      <c r="DH2" s="37">
        <v>43723</v>
      </c>
      <c r="DI2" s="37">
        <v>43724</v>
      </c>
      <c r="DJ2" s="37">
        <v>43725</v>
      </c>
      <c r="DK2" s="37">
        <v>43726</v>
      </c>
      <c r="DL2" s="37">
        <v>43727</v>
      </c>
      <c r="DM2" s="37">
        <v>43728</v>
      </c>
      <c r="DN2" s="37">
        <v>43729</v>
      </c>
      <c r="DO2" s="37">
        <v>43730</v>
      </c>
      <c r="DP2" s="37">
        <v>43731</v>
      </c>
      <c r="DQ2" s="37">
        <v>43732</v>
      </c>
      <c r="DR2" s="37">
        <v>43733</v>
      </c>
      <c r="DS2" s="37">
        <v>43734</v>
      </c>
      <c r="DT2" s="37">
        <v>43735</v>
      </c>
      <c r="DU2" s="37">
        <v>43736</v>
      </c>
      <c r="DV2" s="37">
        <v>43737</v>
      </c>
      <c r="DW2" s="37">
        <v>43738</v>
      </c>
      <c r="DX2" s="37">
        <v>43739</v>
      </c>
      <c r="DY2" s="37">
        <v>43740</v>
      </c>
      <c r="DZ2" s="37">
        <v>43741</v>
      </c>
      <c r="EA2" s="37">
        <v>43742</v>
      </c>
      <c r="EB2" s="37">
        <v>43743</v>
      </c>
      <c r="EC2" s="37">
        <v>43744</v>
      </c>
      <c r="ED2" s="37">
        <v>43745</v>
      </c>
      <c r="EE2" s="37">
        <v>43746</v>
      </c>
      <c r="EF2" s="37">
        <v>43747</v>
      </c>
      <c r="EG2" s="37">
        <v>43748</v>
      </c>
      <c r="EH2" s="37">
        <v>43749</v>
      </c>
      <c r="EI2" s="37">
        <v>43750</v>
      </c>
      <c r="EJ2" s="37">
        <v>43751</v>
      </c>
      <c r="EK2" s="37">
        <v>43752</v>
      </c>
      <c r="EL2" s="37">
        <v>43753</v>
      </c>
      <c r="EM2" s="37">
        <v>43754</v>
      </c>
      <c r="EN2" s="37">
        <v>43755</v>
      </c>
      <c r="EO2" s="37">
        <v>43756</v>
      </c>
      <c r="EP2" s="37">
        <v>43757</v>
      </c>
      <c r="EQ2" s="37">
        <v>43758</v>
      </c>
      <c r="ER2" s="37">
        <v>43759</v>
      </c>
      <c r="ES2" s="37">
        <v>43760</v>
      </c>
      <c r="ET2" s="37">
        <v>43761</v>
      </c>
      <c r="EU2" s="37">
        <v>43762</v>
      </c>
      <c r="EV2" s="37">
        <v>43763</v>
      </c>
      <c r="EW2" s="37">
        <v>43764</v>
      </c>
      <c r="EX2" s="37">
        <v>43765</v>
      </c>
      <c r="EY2" s="37">
        <v>43766</v>
      </c>
      <c r="EZ2" s="37">
        <v>43767</v>
      </c>
      <c r="FA2" s="37">
        <v>43768</v>
      </c>
      <c r="FB2" s="37">
        <v>43769</v>
      </c>
      <c r="FC2" s="37">
        <v>43770</v>
      </c>
      <c r="FD2" s="37">
        <v>43771</v>
      </c>
      <c r="FE2" s="37">
        <v>43772</v>
      </c>
      <c r="FF2" s="37">
        <v>43773</v>
      </c>
      <c r="FG2" s="37">
        <v>43774</v>
      </c>
      <c r="FH2" s="37">
        <v>43775</v>
      </c>
      <c r="FI2" s="37">
        <v>43776</v>
      </c>
      <c r="FJ2" s="37">
        <v>43777</v>
      </c>
      <c r="FK2" s="37">
        <v>43778</v>
      </c>
      <c r="FL2" s="37">
        <v>43779</v>
      </c>
      <c r="FM2" s="37">
        <v>43780</v>
      </c>
      <c r="FN2" s="37">
        <v>43781</v>
      </c>
      <c r="FO2" s="37">
        <v>43782</v>
      </c>
      <c r="FP2" s="37">
        <v>43783</v>
      </c>
      <c r="FQ2" s="37">
        <v>43784</v>
      </c>
      <c r="FR2" s="37">
        <v>43785</v>
      </c>
      <c r="FS2" s="37">
        <v>43786</v>
      </c>
      <c r="FT2" s="37">
        <v>43787</v>
      </c>
      <c r="FU2" s="37">
        <v>43788</v>
      </c>
      <c r="FV2" s="37">
        <v>43789</v>
      </c>
      <c r="FW2" s="37">
        <v>43790</v>
      </c>
      <c r="FX2" s="37">
        <v>43791</v>
      </c>
      <c r="FY2" s="37">
        <v>43792</v>
      </c>
      <c r="FZ2" s="37">
        <v>43793</v>
      </c>
      <c r="GA2" s="37">
        <v>43794</v>
      </c>
      <c r="GB2" s="37">
        <v>43795</v>
      </c>
      <c r="GC2" s="37">
        <v>43796</v>
      </c>
      <c r="GD2" s="37">
        <v>43797</v>
      </c>
      <c r="GE2" s="37">
        <v>43798</v>
      </c>
      <c r="GF2" s="37">
        <v>43799</v>
      </c>
      <c r="GG2" s="37">
        <v>43800</v>
      </c>
      <c r="GH2" s="37">
        <v>43801</v>
      </c>
      <c r="GI2" s="37">
        <v>43802</v>
      </c>
      <c r="GJ2" s="37">
        <v>43803</v>
      </c>
      <c r="GK2" s="37">
        <v>43804</v>
      </c>
      <c r="GL2" s="37">
        <v>43805</v>
      </c>
      <c r="GM2" s="37">
        <v>43806</v>
      </c>
      <c r="GN2" s="37">
        <v>43807</v>
      </c>
      <c r="GO2" s="37">
        <v>43808</v>
      </c>
      <c r="GP2" s="37">
        <v>43809</v>
      </c>
      <c r="GQ2" s="37">
        <v>43810</v>
      </c>
      <c r="GR2" s="37">
        <v>43811</v>
      </c>
      <c r="GS2" s="37">
        <v>43812</v>
      </c>
      <c r="GT2" s="37">
        <v>43813</v>
      </c>
      <c r="GU2" s="37">
        <v>43814</v>
      </c>
      <c r="GV2" s="37">
        <v>43815</v>
      </c>
      <c r="GW2" s="37">
        <v>43816</v>
      </c>
      <c r="GX2" s="37">
        <v>43817</v>
      </c>
      <c r="GY2" s="37">
        <v>43818</v>
      </c>
      <c r="GZ2" s="37">
        <v>43819</v>
      </c>
      <c r="HA2" s="37">
        <v>43820</v>
      </c>
      <c r="HB2" s="37">
        <v>43821</v>
      </c>
      <c r="HC2" s="37">
        <v>43822</v>
      </c>
      <c r="HD2" s="37">
        <v>43823</v>
      </c>
      <c r="HE2" s="37">
        <v>43824</v>
      </c>
      <c r="HF2" s="37">
        <v>43825</v>
      </c>
      <c r="HG2" s="37">
        <v>43826</v>
      </c>
      <c r="HH2" s="37">
        <v>43827</v>
      </c>
      <c r="HI2" s="37">
        <v>43828</v>
      </c>
      <c r="HJ2" s="37">
        <v>43829</v>
      </c>
      <c r="HK2" s="37">
        <v>43830</v>
      </c>
    </row>
    <row r="3" spans="1:219" ht="18.75" customHeight="1">
      <c r="A3" s="38" t="s">
        <v>68</v>
      </c>
      <c r="B3" s="38"/>
      <c r="C3" s="39"/>
      <c r="D3" s="40"/>
      <c r="E3" s="40"/>
      <c r="F3" s="40"/>
      <c r="G3" s="40"/>
      <c r="H3" s="40"/>
      <c r="I3" s="40"/>
      <c r="J3" s="40"/>
      <c r="K3" s="40"/>
      <c r="L3" s="40"/>
      <c r="M3" s="41"/>
      <c r="N3" s="41"/>
      <c r="O3" s="42">
        <f t="shared" ref="O3:R3" si="0">O2</f>
        <v>43626</v>
      </c>
      <c r="P3" s="42">
        <f t="shared" si="0"/>
        <v>43627</v>
      </c>
      <c r="Q3" s="42">
        <f t="shared" si="0"/>
        <v>43628</v>
      </c>
      <c r="R3" s="42">
        <f t="shared" si="0"/>
        <v>43629</v>
      </c>
      <c r="S3" s="42">
        <f>S2</f>
        <v>43630</v>
      </c>
      <c r="T3" s="42">
        <f t="shared" ref="T3:CE3" si="1">T2</f>
        <v>43631</v>
      </c>
      <c r="U3" s="42">
        <f t="shared" si="1"/>
        <v>43632</v>
      </c>
      <c r="V3" s="42">
        <f t="shared" si="1"/>
        <v>43633</v>
      </c>
      <c r="W3" s="42">
        <f t="shared" si="1"/>
        <v>43634</v>
      </c>
      <c r="X3" s="42">
        <f t="shared" si="1"/>
        <v>43635</v>
      </c>
      <c r="Y3" s="42">
        <f t="shared" si="1"/>
        <v>43636</v>
      </c>
      <c r="Z3" s="42">
        <f t="shared" si="1"/>
        <v>43637</v>
      </c>
      <c r="AA3" s="42">
        <f t="shared" si="1"/>
        <v>43638</v>
      </c>
      <c r="AB3" s="42">
        <f t="shared" si="1"/>
        <v>43639</v>
      </c>
      <c r="AC3" s="42">
        <f t="shared" si="1"/>
        <v>43640</v>
      </c>
      <c r="AD3" s="42">
        <f t="shared" si="1"/>
        <v>43641</v>
      </c>
      <c r="AE3" s="42">
        <f t="shared" si="1"/>
        <v>43642</v>
      </c>
      <c r="AF3" s="42">
        <f t="shared" si="1"/>
        <v>43643</v>
      </c>
      <c r="AG3" s="42">
        <f t="shared" si="1"/>
        <v>43644</v>
      </c>
      <c r="AH3" s="42">
        <f t="shared" si="1"/>
        <v>43645</v>
      </c>
      <c r="AI3" s="42">
        <f t="shared" si="1"/>
        <v>43646</v>
      </c>
      <c r="AJ3" s="42">
        <f t="shared" si="1"/>
        <v>43647</v>
      </c>
      <c r="AK3" s="42">
        <f t="shared" si="1"/>
        <v>43648</v>
      </c>
      <c r="AL3" s="42">
        <f t="shared" si="1"/>
        <v>43649</v>
      </c>
      <c r="AM3" s="42">
        <f t="shared" si="1"/>
        <v>43650</v>
      </c>
      <c r="AN3" s="42">
        <f t="shared" si="1"/>
        <v>43651</v>
      </c>
      <c r="AO3" s="42">
        <f t="shared" si="1"/>
        <v>43652</v>
      </c>
      <c r="AP3" s="42">
        <f t="shared" si="1"/>
        <v>43653</v>
      </c>
      <c r="AQ3" s="42">
        <f t="shared" si="1"/>
        <v>43654</v>
      </c>
      <c r="AR3" s="42">
        <f t="shared" si="1"/>
        <v>43655</v>
      </c>
      <c r="AS3" s="42">
        <f t="shared" si="1"/>
        <v>43656</v>
      </c>
      <c r="AT3" s="42">
        <f t="shared" si="1"/>
        <v>43657</v>
      </c>
      <c r="AU3" s="42">
        <f t="shared" si="1"/>
        <v>43658</v>
      </c>
      <c r="AV3" s="42">
        <f t="shared" si="1"/>
        <v>43659</v>
      </c>
      <c r="AW3" s="42">
        <f t="shared" si="1"/>
        <v>43660</v>
      </c>
      <c r="AX3" s="42">
        <f t="shared" si="1"/>
        <v>43661</v>
      </c>
      <c r="AY3" s="42">
        <f t="shared" si="1"/>
        <v>43662</v>
      </c>
      <c r="AZ3" s="42">
        <f t="shared" si="1"/>
        <v>43663</v>
      </c>
      <c r="BA3" s="42">
        <f t="shared" si="1"/>
        <v>43664</v>
      </c>
      <c r="BB3" s="42">
        <f t="shared" si="1"/>
        <v>43665</v>
      </c>
      <c r="BC3" s="42">
        <f t="shared" si="1"/>
        <v>43666</v>
      </c>
      <c r="BD3" s="42">
        <f t="shared" si="1"/>
        <v>43667</v>
      </c>
      <c r="BE3" s="42">
        <f t="shared" si="1"/>
        <v>43668</v>
      </c>
      <c r="BF3" s="42">
        <f t="shared" si="1"/>
        <v>43669</v>
      </c>
      <c r="BG3" s="42">
        <f t="shared" si="1"/>
        <v>43670</v>
      </c>
      <c r="BH3" s="42">
        <f t="shared" si="1"/>
        <v>43671</v>
      </c>
      <c r="BI3" s="42">
        <f t="shared" si="1"/>
        <v>43672</v>
      </c>
      <c r="BJ3" s="42">
        <f t="shared" si="1"/>
        <v>43673</v>
      </c>
      <c r="BK3" s="42">
        <f t="shared" si="1"/>
        <v>43674</v>
      </c>
      <c r="BL3" s="42">
        <f t="shared" si="1"/>
        <v>43675</v>
      </c>
      <c r="BM3" s="42">
        <f t="shared" si="1"/>
        <v>43676</v>
      </c>
      <c r="BN3" s="42">
        <f t="shared" si="1"/>
        <v>43677</v>
      </c>
      <c r="BO3" s="42">
        <f t="shared" si="1"/>
        <v>43678</v>
      </c>
      <c r="BP3" s="42">
        <f t="shared" si="1"/>
        <v>43679</v>
      </c>
      <c r="BQ3" s="42">
        <f t="shared" si="1"/>
        <v>43680</v>
      </c>
      <c r="BR3" s="42">
        <f t="shared" si="1"/>
        <v>43681</v>
      </c>
      <c r="BS3" s="42">
        <f t="shared" si="1"/>
        <v>43682</v>
      </c>
      <c r="BT3" s="42">
        <f t="shared" si="1"/>
        <v>43683</v>
      </c>
      <c r="BU3" s="42">
        <f t="shared" si="1"/>
        <v>43684</v>
      </c>
      <c r="BV3" s="42">
        <f t="shared" si="1"/>
        <v>43685</v>
      </c>
      <c r="BW3" s="42">
        <f t="shared" si="1"/>
        <v>43686</v>
      </c>
      <c r="BX3" s="42">
        <f t="shared" si="1"/>
        <v>43687</v>
      </c>
      <c r="BY3" s="42">
        <f t="shared" si="1"/>
        <v>43688</v>
      </c>
      <c r="BZ3" s="42">
        <f t="shared" si="1"/>
        <v>43689</v>
      </c>
      <c r="CA3" s="42">
        <f t="shared" si="1"/>
        <v>43690</v>
      </c>
      <c r="CB3" s="42">
        <f t="shared" si="1"/>
        <v>43691</v>
      </c>
      <c r="CC3" s="42">
        <f t="shared" si="1"/>
        <v>43692</v>
      </c>
      <c r="CD3" s="42">
        <f t="shared" si="1"/>
        <v>43693</v>
      </c>
      <c r="CE3" s="42">
        <f t="shared" si="1"/>
        <v>43694</v>
      </c>
      <c r="CF3" s="42">
        <f t="shared" ref="CF3:EQ3" si="2">CF2</f>
        <v>43695</v>
      </c>
      <c r="CG3" s="42">
        <f t="shared" si="2"/>
        <v>43696</v>
      </c>
      <c r="CH3" s="42">
        <f t="shared" si="2"/>
        <v>43697</v>
      </c>
      <c r="CI3" s="42">
        <f t="shared" si="2"/>
        <v>43698</v>
      </c>
      <c r="CJ3" s="42">
        <f t="shared" si="2"/>
        <v>43699</v>
      </c>
      <c r="CK3" s="42">
        <f t="shared" si="2"/>
        <v>43700</v>
      </c>
      <c r="CL3" s="42">
        <f t="shared" si="2"/>
        <v>43701</v>
      </c>
      <c r="CM3" s="42">
        <f t="shared" si="2"/>
        <v>43702</v>
      </c>
      <c r="CN3" s="42">
        <f t="shared" si="2"/>
        <v>43703</v>
      </c>
      <c r="CO3" s="42">
        <f t="shared" si="2"/>
        <v>43704</v>
      </c>
      <c r="CP3" s="42">
        <f t="shared" si="2"/>
        <v>43705</v>
      </c>
      <c r="CQ3" s="42">
        <f t="shared" si="2"/>
        <v>43706</v>
      </c>
      <c r="CR3" s="42">
        <f t="shared" si="2"/>
        <v>43707</v>
      </c>
      <c r="CS3" s="42">
        <f t="shared" si="2"/>
        <v>43708</v>
      </c>
      <c r="CT3" s="42">
        <f t="shared" si="2"/>
        <v>43709</v>
      </c>
      <c r="CU3" s="42">
        <f t="shared" si="2"/>
        <v>43710</v>
      </c>
      <c r="CV3" s="42">
        <f t="shared" si="2"/>
        <v>43711</v>
      </c>
      <c r="CW3" s="42">
        <f t="shared" si="2"/>
        <v>43712</v>
      </c>
      <c r="CX3" s="42">
        <f t="shared" si="2"/>
        <v>43713</v>
      </c>
      <c r="CY3" s="42">
        <f t="shared" si="2"/>
        <v>43714</v>
      </c>
      <c r="CZ3" s="42">
        <f t="shared" si="2"/>
        <v>43715</v>
      </c>
      <c r="DA3" s="42">
        <f t="shared" si="2"/>
        <v>43716</v>
      </c>
      <c r="DB3" s="42">
        <f t="shared" si="2"/>
        <v>43717</v>
      </c>
      <c r="DC3" s="42">
        <f t="shared" si="2"/>
        <v>43718</v>
      </c>
      <c r="DD3" s="42">
        <f t="shared" si="2"/>
        <v>43719</v>
      </c>
      <c r="DE3" s="42">
        <f t="shared" si="2"/>
        <v>43720</v>
      </c>
      <c r="DF3" s="42">
        <f t="shared" si="2"/>
        <v>43721</v>
      </c>
      <c r="DG3" s="42">
        <f t="shared" si="2"/>
        <v>43722</v>
      </c>
      <c r="DH3" s="42">
        <f t="shared" si="2"/>
        <v>43723</v>
      </c>
      <c r="DI3" s="42">
        <f t="shared" si="2"/>
        <v>43724</v>
      </c>
      <c r="DJ3" s="42">
        <f t="shared" si="2"/>
        <v>43725</v>
      </c>
      <c r="DK3" s="42">
        <f t="shared" si="2"/>
        <v>43726</v>
      </c>
      <c r="DL3" s="42">
        <f t="shared" si="2"/>
        <v>43727</v>
      </c>
      <c r="DM3" s="42">
        <f t="shared" si="2"/>
        <v>43728</v>
      </c>
      <c r="DN3" s="42">
        <f t="shared" si="2"/>
        <v>43729</v>
      </c>
      <c r="DO3" s="42">
        <f t="shared" si="2"/>
        <v>43730</v>
      </c>
      <c r="DP3" s="42">
        <f t="shared" si="2"/>
        <v>43731</v>
      </c>
      <c r="DQ3" s="42">
        <f t="shared" si="2"/>
        <v>43732</v>
      </c>
      <c r="DR3" s="42">
        <f t="shared" si="2"/>
        <v>43733</v>
      </c>
      <c r="DS3" s="42">
        <f t="shared" si="2"/>
        <v>43734</v>
      </c>
      <c r="DT3" s="42">
        <f t="shared" si="2"/>
        <v>43735</v>
      </c>
      <c r="DU3" s="42">
        <f t="shared" si="2"/>
        <v>43736</v>
      </c>
      <c r="DV3" s="42">
        <f t="shared" si="2"/>
        <v>43737</v>
      </c>
      <c r="DW3" s="42">
        <f t="shared" si="2"/>
        <v>43738</v>
      </c>
      <c r="DX3" s="42">
        <f t="shared" si="2"/>
        <v>43739</v>
      </c>
      <c r="DY3" s="42">
        <f t="shared" si="2"/>
        <v>43740</v>
      </c>
      <c r="DZ3" s="42">
        <f t="shared" si="2"/>
        <v>43741</v>
      </c>
      <c r="EA3" s="42">
        <f t="shared" si="2"/>
        <v>43742</v>
      </c>
      <c r="EB3" s="42">
        <f t="shared" si="2"/>
        <v>43743</v>
      </c>
      <c r="EC3" s="42">
        <f t="shared" si="2"/>
        <v>43744</v>
      </c>
      <c r="ED3" s="42">
        <f t="shared" si="2"/>
        <v>43745</v>
      </c>
      <c r="EE3" s="42">
        <f t="shared" si="2"/>
        <v>43746</v>
      </c>
      <c r="EF3" s="42">
        <f t="shared" si="2"/>
        <v>43747</v>
      </c>
      <c r="EG3" s="42">
        <f t="shared" si="2"/>
        <v>43748</v>
      </c>
      <c r="EH3" s="42">
        <f t="shared" si="2"/>
        <v>43749</v>
      </c>
      <c r="EI3" s="42">
        <f t="shared" si="2"/>
        <v>43750</v>
      </c>
      <c r="EJ3" s="42">
        <f t="shared" si="2"/>
        <v>43751</v>
      </c>
      <c r="EK3" s="42">
        <f t="shared" si="2"/>
        <v>43752</v>
      </c>
      <c r="EL3" s="42">
        <f t="shared" si="2"/>
        <v>43753</v>
      </c>
      <c r="EM3" s="42">
        <f t="shared" si="2"/>
        <v>43754</v>
      </c>
      <c r="EN3" s="42">
        <f t="shared" si="2"/>
        <v>43755</v>
      </c>
      <c r="EO3" s="42">
        <f t="shared" si="2"/>
        <v>43756</v>
      </c>
      <c r="EP3" s="42">
        <f t="shared" si="2"/>
        <v>43757</v>
      </c>
      <c r="EQ3" s="42">
        <f t="shared" si="2"/>
        <v>43758</v>
      </c>
      <c r="ER3" s="42">
        <f t="shared" ref="ER3:HC3" si="3">ER2</f>
        <v>43759</v>
      </c>
      <c r="ES3" s="42">
        <f t="shared" si="3"/>
        <v>43760</v>
      </c>
      <c r="ET3" s="42">
        <f t="shared" si="3"/>
        <v>43761</v>
      </c>
      <c r="EU3" s="42">
        <f t="shared" si="3"/>
        <v>43762</v>
      </c>
      <c r="EV3" s="42">
        <f t="shared" si="3"/>
        <v>43763</v>
      </c>
      <c r="EW3" s="42">
        <f t="shared" si="3"/>
        <v>43764</v>
      </c>
      <c r="EX3" s="42">
        <f t="shared" si="3"/>
        <v>43765</v>
      </c>
      <c r="EY3" s="42">
        <f t="shared" si="3"/>
        <v>43766</v>
      </c>
      <c r="EZ3" s="42">
        <f t="shared" si="3"/>
        <v>43767</v>
      </c>
      <c r="FA3" s="42">
        <f t="shared" si="3"/>
        <v>43768</v>
      </c>
      <c r="FB3" s="42">
        <f t="shared" si="3"/>
        <v>43769</v>
      </c>
      <c r="FC3" s="42">
        <f t="shared" si="3"/>
        <v>43770</v>
      </c>
      <c r="FD3" s="42">
        <f t="shared" si="3"/>
        <v>43771</v>
      </c>
      <c r="FE3" s="42">
        <f t="shared" si="3"/>
        <v>43772</v>
      </c>
      <c r="FF3" s="42">
        <f t="shared" si="3"/>
        <v>43773</v>
      </c>
      <c r="FG3" s="42">
        <f t="shared" si="3"/>
        <v>43774</v>
      </c>
      <c r="FH3" s="42">
        <f t="shared" si="3"/>
        <v>43775</v>
      </c>
      <c r="FI3" s="42">
        <f t="shared" si="3"/>
        <v>43776</v>
      </c>
      <c r="FJ3" s="42">
        <f t="shared" si="3"/>
        <v>43777</v>
      </c>
      <c r="FK3" s="42">
        <f t="shared" si="3"/>
        <v>43778</v>
      </c>
      <c r="FL3" s="42">
        <f t="shared" si="3"/>
        <v>43779</v>
      </c>
      <c r="FM3" s="42">
        <f t="shared" si="3"/>
        <v>43780</v>
      </c>
      <c r="FN3" s="42">
        <f t="shared" si="3"/>
        <v>43781</v>
      </c>
      <c r="FO3" s="42">
        <f t="shared" si="3"/>
        <v>43782</v>
      </c>
      <c r="FP3" s="42">
        <f t="shared" si="3"/>
        <v>43783</v>
      </c>
      <c r="FQ3" s="42">
        <f t="shared" si="3"/>
        <v>43784</v>
      </c>
      <c r="FR3" s="42">
        <f t="shared" si="3"/>
        <v>43785</v>
      </c>
      <c r="FS3" s="42">
        <f t="shared" si="3"/>
        <v>43786</v>
      </c>
      <c r="FT3" s="42">
        <f t="shared" si="3"/>
        <v>43787</v>
      </c>
      <c r="FU3" s="42">
        <f t="shared" si="3"/>
        <v>43788</v>
      </c>
      <c r="FV3" s="42">
        <f t="shared" si="3"/>
        <v>43789</v>
      </c>
      <c r="FW3" s="42">
        <f t="shared" si="3"/>
        <v>43790</v>
      </c>
      <c r="FX3" s="42">
        <f t="shared" si="3"/>
        <v>43791</v>
      </c>
      <c r="FY3" s="42">
        <f t="shared" si="3"/>
        <v>43792</v>
      </c>
      <c r="FZ3" s="42">
        <f t="shared" si="3"/>
        <v>43793</v>
      </c>
      <c r="GA3" s="42">
        <f t="shared" si="3"/>
        <v>43794</v>
      </c>
      <c r="GB3" s="42">
        <f t="shared" si="3"/>
        <v>43795</v>
      </c>
      <c r="GC3" s="42">
        <f t="shared" si="3"/>
        <v>43796</v>
      </c>
      <c r="GD3" s="42">
        <f t="shared" si="3"/>
        <v>43797</v>
      </c>
      <c r="GE3" s="42">
        <f t="shared" si="3"/>
        <v>43798</v>
      </c>
      <c r="GF3" s="42">
        <f t="shared" si="3"/>
        <v>43799</v>
      </c>
      <c r="GG3" s="42">
        <f t="shared" si="3"/>
        <v>43800</v>
      </c>
      <c r="GH3" s="42">
        <f t="shared" si="3"/>
        <v>43801</v>
      </c>
      <c r="GI3" s="42">
        <f t="shared" si="3"/>
        <v>43802</v>
      </c>
      <c r="GJ3" s="42">
        <f t="shared" si="3"/>
        <v>43803</v>
      </c>
      <c r="GK3" s="42">
        <f t="shared" si="3"/>
        <v>43804</v>
      </c>
      <c r="GL3" s="42">
        <f t="shared" si="3"/>
        <v>43805</v>
      </c>
      <c r="GM3" s="42">
        <f t="shared" si="3"/>
        <v>43806</v>
      </c>
      <c r="GN3" s="42">
        <f t="shared" si="3"/>
        <v>43807</v>
      </c>
      <c r="GO3" s="42">
        <f t="shared" si="3"/>
        <v>43808</v>
      </c>
      <c r="GP3" s="42">
        <f t="shared" si="3"/>
        <v>43809</v>
      </c>
      <c r="GQ3" s="42">
        <f t="shared" si="3"/>
        <v>43810</v>
      </c>
      <c r="GR3" s="42">
        <f t="shared" si="3"/>
        <v>43811</v>
      </c>
      <c r="GS3" s="42">
        <f t="shared" si="3"/>
        <v>43812</v>
      </c>
      <c r="GT3" s="42">
        <f t="shared" si="3"/>
        <v>43813</v>
      </c>
      <c r="GU3" s="42">
        <f t="shared" si="3"/>
        <v>43814</v>
      </c>
      <c r="GV3" s="42">
        <f t="shared" si="3"/>
        <v>43815</v>
      </c>
      <c r="GW3" s="42">
        <f t="shared" si="3"/>
        <v>43816</v>
      </c>
      <c r="GX3" s="42">
        <f t="shared" si="3"/>
        <v>43817</v>
      </c>
      <c r="GY3" s="42">
        <f t="shared" si="3"/>
        <v>43818</v>
      </c>
      <c r="GZ3" s="42">
        <f t="shared" si="3"/>
        <v>43819</v>
      </c>
      <c r="HA3" s="42">
        <f t="shared" si="3"/>
        <v>43820</v>
      </c>
      <c r="HB3" s="42">
        <f t="shared" si="3"/>
        <v>43821</v>
      </c>
      <c r="HC3" s="42">
        <f t="shared" si="3"/>
        <v>43822</v>
      </c>
      <c r="HD3" s="42">
        <f t="shared" ref="HD3:HK3" si="4">HD2</f>
        <v>43823</v>
      </c>
      <c r="HE3" s="42">
        <f t="shared" si="4"/>
        <v>43824</v>
      </c>
      <c r="HF3" s="42">
        <f t="shared" si="4"/>
        <v>43825</v>
      </c>
      <c r="HG3" s="42">
        <f t="shared" si="4"/>
        <v>43826</v>
      </c>
      <c r="HH3" s="42">
        <f t="shared" si="4"/>
        <v>43827</v>
      </c>
      <c r="HI3" s="42">
        <f t="shared" si="4"/>
        <v>43828</v>
      </c>
      <c r="HJ3" s="42">
        <f t="shared" si="4"/>
        <v>43829</v>
      </c>
      <c r="HK3" s="42">
        <f t="shared" si="4"/>
        <v>43830</v>
      </c>
    </row>
    <row r="4" spans="1:219">
      <c r="A4" s="42"/>
      <c r="B4" s="42"/>
      <c r="C4" s="43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</row>
    <row r="5" spans="1:219">
      <c r="A5" s="44" t="s">
        <v>62</v>
      </c>
      <c r="B5" s="44"/>
      <c r="C5" s="45" t="s">
        <v>63</v>
      </c>
      <c r="D5" s="46">
        <v>141900</v>
      </c>
      <c r="E5" s="47">
        <v>148200</v>
      </c>
      <c r="F5" s="56">
        <f>E5-D5</f>
        <v>6300</v>
      </c>
      <c r="G5" s="48"/>
      <c r="H5" s="48"/>
      <c r="I5" s="48"/>
      <c r="J5" s="48"/>
      <c r="K5" s="48"/>
      <c r="L5" s="48"/>
      <c r="M5" s="49">
        <f>MIN(M6:M6)</f>
        <v>43640</v>
      </c>
      <c r="N5" s="49">
        <f>MAX(N6:N7)</f>
        <v>43648.464874999998</v>
      </c>
      <c r="O5" s="50"/>
      <c r="P5" s="50"/>
      <c r="Q5" s="50"/>
      <c r="R5" s="50"/>
    </row>
    <row r="6" spans="1:219">
      <c r="A6" s="34"/>
      <c r="B6" s="15" t="s">
        <v>96</v>
      </c>
      <c r="C6" s="55" t="s">
        <v>65</v>
      </c>
      <c r="D6" s="51">
        <v>142595</v>
      </c>
      <c r="E6" s="51">
        <v>148200</v>
      </c>
      <c r="F6" s="52">
        <f t="shared" ref="F6:F7" si="5">E6-D6</f>
        <v>5605</v>
      </c>
      <c r="G6" s="15">
        <v>10.5</v>
      </c>
      <c r="H6" s="55">
        <v>0.03</v>
      </c>
      <c r="I6">
        <f t="shared" ref="I6:I7" si="6">F6*G6*H6</f>
        <v>1765.575</v>
      </c>
      <c r="J6" s="52">
        <v>1</v>
      </c>
      <c r="K6" s="19">
        <f>(30*14)/1.3</f>
        <v>323.07692307692304</v>
      </c>
      <c r="L6" s="53">
        <f t="shared" ref="L6:L7" si="7">I6/(J6*K6)</f>
        <v>5.464875000000001</v>
      </c>
      <c r="M6" s="54">
        <f>AC3</f>
        <v>43640</v>
      </c>
      <c r="N6" s="54">
        <f>M6+L6</f>
        <v>43645.464874999998</v>
      </c>
      <c r="O6" s="54"/>
      <c r="P6" s="54"/>
      <c r="Q6" s="54"/>
      <c r="R6" s="54"/>
    </row>
    <row r="7" spans="1:219">
      <c r="B7" s="15" t="s">
        <v>97</v>
      </c>
      <c r="C7" s="55" t="s">
        <v>65</v>
      </c>
      <c r="D7" s="51">
        <f t="shared" ref="D7:E7" si="8">D6</f>
        <v>142595</v>
      </c>
      <c r="E7" s="51">
        <f t="shared" si="8"/>
        <v>148200</v>
      </c>
      <c r="F7" s="52">
        <f t="shared" si="5"/>
        <v>5605</v>
      </c>
      <c r="G7" s="15">
        <v>10.5</v>
      </c>
      <c r="H7" s="55">
        <v>0.03</v>
      </c>
      <c r="I7">
        <f t="shared" si="6"/>
        <v>1765.575</v>
      </c>
      <c r="J7" s="52">
        <v>1</v>
      </c>
      <c r="K7" s="19">
        <f>(30*14)/1.3</f>
        <v>323.07692307692304</v>
      </c>
      <c r="L7" s="53">
        <f t="shared" si="7"/>
        <v>5.464875000000001</v>
      </c>
      <c r="M7" s="54">
        <f>AE2</f>
        <v>43642</v>
      </c>
      <c r="N7" s="54">
        <f>M7+L7+1</f>
        <v>43648.464874999998</v>
      </c>
      <c r="O7" s="54"/>
      <c r="P7" s="54"/>
      <c r="Q7" s="54"/>
      <c r="R7" s="54"/>
    </row>
    <row r="8" spans="1:219">
      <c r="A8" t="s">
        <v>98</v>
      </c>
      <c r="B8" s="15" t="s">
        <v>96</v>
      </c>
      <c r="C8" s="55" t="s">
        <v>65</v>
      </c>
      <c r="D8" s="51">
        <v>141900</v>
      </c>
      <c r="E8" s="51">
        <v>143200</v>
      </c>
      <c r="F8" s="52">
        <f t="shared" ref="F8" si="9">E8-D8</f>
        <v>1300</v>
      </c>
      <c r="G8" s="15">
        <v>10.5</v>
      </c>
      <c r="H8" s="55">
        <v>0.03</v>
      </c>
      <c r="I8">
        <f t="shared" ref="I8" si="10">F8*G8*H8</f>
        <v>409.5</v>
      </c>
      <c r="J8" s="52">
        <v>1</v>
      </c>
      <c r="K8" s="19">
        <f>(30*14)/1.3</f>
        <v>323.07692307692304</v>
      </c>
      <c r="L8" s="53">
        <f t="shared" ref="L8" si="11">I8/(J8*K8)</f>
        <v>1.2675000000000001</v>
      </c>
      <c r="M8" s="54">
        <f>AE3</f>
        <v>43642</v>
      </c>
      <c r="N8" s="54">
        <f>M8+L8+1</f>
        <v>43644.267500000002</v>
      </c>
      <c r="O8" s="54"/>
      <c r="P8" s="54"/>
      <c r="Q8" s="54"/>
      <c r="R8" s="54"/>
    </row>
    <row r="9" spans="1:219">
      <c r="A9" t="s">
        <v>98</v>
      </c>
      <c r="B9" s="15" t="s">
        <v>97</v>
      </c>
      <c r="C9" s="55" t="s">
        <v>65</v>
      </c>
      <c r="D9" s="51">
        <v>141900</v>
      </c>
      <c r="E9" s="51">
        <v>143200</v>
      </c>
      <c r="F9" s="52">
        <f t="shared" ref="F9" si="12">E9-D9</f>
        <v>1300</v>
      </c>
      <c r="G9" s="15">
        <v>10.5</v>
      </c>
      <c r="H9" s="55">
        <v>0.03</v>
      </c>
      <c r="I9">
        <f t="shared" ref="I9" si="13">F9*G9*H9</f>
        <v>409.5</v>
      </c>
      <c r="J9" s="52">
        <v>1</v>
      </c>
      <c r="K9" s="19">
        <f>(30*14)/1.3</f>
        <v>323.07692307692304</v>
      </c>
      <c r="L9" s="53">
        <f t="shared" ref="L9" si="14">I9/(J9*K9)</f>
        <v>1.2675000000000001</v>
      </c>
      <c r="M9" s="54">
        <f>AE4</f>
        <v>0</v>
      </c>
      <c r="N9" s="54">
        <f>M9+L9+1</f>
        <v>2.2675000000000001</v>
      </c>
      <c r="O9" s="54"/>
      <c r="P9" s="54"/>
      <c r="Q9" s="54"/>
      <c r="R9" s="54"/>
    </row>
    <row r="10" spans="1:219">
      <c r="B10" s="15"/>
      <c r="C10" s="55"/>
      <c r="D10" s="51"/>
      <c r="E10" s="51"/>
      <c r="F10" s="52"/>
      <c r="G10" s="15"/>
      <c r="H10" s="55"/>
      <c r="J10" s="52"/>
      <c r="K10" s="19"/>
      <c r="L10" s="53"/>
      <c r="M10" s="54"/>
      <c r="N10" s="54"/>
      <c r="O10" s="54"/>
      <c r="P10" s="54"/>
      <c r="Q10" s="54"/>
      <c r="R10" s="54"/>
    </row>
    <row r="11" spans="1:219">
      <c r="B11" s="15"/>
      <c r="C11" s="55"/>
      <c r="D11" s="51"/>
      <c r="E11" s="51"/>
      <c r="F11" s="52"/>
      <c r="G11" s="15"/>
      <c r="H11" s="55"/>
      <c r="J11" s="52"/>
      <c r="K11" s="19"/>
      <c r="L11" s="53"/>
      <c r="M11" s="54"/>
      <c r="N11" s="54"/>
      <c r="O11" s="54"/>
      <c r="P11" s="54"/>
      <c r="Q11" s="54"/>
      <c r="R11" s="54"/>
    </row>
    <row r="12" spans="1:219">
      <c r="A12" s="44" t="s">
        <v>66</v>
      </c>
      <c r="B12" s="44"/>
      <c r="C12" s="45"/>
      <c r="D12" s="46">
        <v>140600</v>
      </c>
      <c r="E12" s="47">
        <v>141900</v>
      </c>
      <c r="F12" s="48"/>
      <c r="G12" s="48"/>
      <c r="H12" s="48"/>
      <c r="I12" s="48"/>
      <c r="J12" s="48"/>
      <c r="K12" s="48"/>
      <c r="L12" s="48"/>
      <c r="M12" s="49">
        <f>MIN(M13:M15)</f>
        <v>43663</v>
      </c>
      <c r="N12" s="49">
        <f>MAX(N13:N16)</f>
        <v>43682.785000000003</v>
      </c>
      <c r="O12" s="50"/>
      <c r="P12" s="50"/>
      <c r="Q12" s="50"/>
      <c r="R12" s="50"/>
    </row>
    <row r="13" spans="1:219">
      <c r="A13" s="34"/>
      <c r="B13" s="34"/>
      <c r="C13" t="s">
        <v>67</v>
      </c>
      <c r="D13" s="51">
        <f>D12</f>
        <v>140600</v>
      </c>
      <c r="E13" s="51">
        <f>E12</f>
        <v>141900</v>
      </c>
      <c r="F13" s="52">
        <f>E13-D13</f>
        <v>1300</v>
      </c>
      <c r="G13" s="15">
        <v>10.5</v>
      </c>
      <c r="H13">
        <v>0.14000000000000001</v>
      </c>
      <c r="I13">
        <f t="shared" ref="I13:I16" si="15">F13*G13*H13</f>
        <v>1911.0000000000002</v>
      </c>
      <c r="J13" s="52">
        <v>1</v>
      </c>
      <c r="K13" s="52">
        <f>300*10.5*0.1</f>
        <v>315</v>
      </c>
      <c r="L13" s="53">
        <f>I13/(J13*K13)</f>
        <v>6.0666666666666673</v>
      </c>
      <c r="M13" s="54">
        <f>AZ3</f>
        <v>43663</v>
      </c>
      <c r="N13" s="54">
        <f t="shared" ref="N13:N16" si="16">M13+L13</f>
        <v>43669.066666666666</v>
      </c>
      <c r="O13" s="54"/>
      <c r="P13" s="54"/>
      <c r="Q13" s="54"/>
      <c r="R13" s="54"/>
      <c r="AZ13" s="91"/>
      <c r="BA13" s="91"/>
      <c r="BB13" s="91"/>
      <c r="BC13" s="91"/>
      <c r="BD13" s="91"/>
      <c r="BE13" s="91"/>
      <c r="BF13" s="91"/>
    </row>
    <row r="14" spans="1:219">
      <c r="A14" s="34"/>
      <c r="B14" s="34"/>
      <c r="C14" s="55" t="s">
        <v>69</v>
      </c>
      <c r="D14" s="51">
        <f t="shared" ref="D14:E16" si="17">D13</f>
        <v>140600</v>
      </c>
      <c r="E14" s="51">
        <f t="shared" si="17"/>
        <v>141900</v>
      </c>
      <c r="F14" s="52">
        <f>E14-D14</f>
        <v>1300</v>
      </c>
      <c r="G14" s="15">
        <v>10.5</v>
      </c>
      <c r="H14" s="55">
        <v>0.18</v>
      </c>
      <c r="I14">
        <f t="shared" si="15"/>
        <v>2457</v>
      </c>
      <c r="J14" s="52">
        <v>1</v>
      </c>
      <c r="K14" s="19">
        <f>400*10.5*0.18</f>
        <v>756</v>
      </c>
      <c r="L14" s="53">
        <f t="shared" ref="L14:L16" si="18">I14/(J14*K14)</f>
        <v>3.25</v>
      </c>
      <c r="M14" s="54">
        <f>M13+3</f>
        <v>43666</v>
      </c>
      <c r="N14" s="54">
        <f>M14+L14+3</f>
        <v>43672.25</v>
      </c>
      <c r="O14" s="54"/>
      <c r="P14" s="54"/>
      <c r="Q14" s="54"/>
      <c r="R14" s="54"/>
      <c r="BC14" s="91"/>
      <c r="BD14" s="91"/>
      <c r="BE14" s="91"/>
      <c r="BF14" s="91"/>
      <c r="BG14" s="91"/>
      <c r="BH14" s="91"/>
      <c r="BI14" s="91"/>
    </row>
    <row r="15" spans="1:219">
      <c r="A15" s="34"/>
      <c r="B15" s="34"/>
      <c r="C15" s="55" t="s">
        <v>65</v>
      </c>
      <c r="D15" s="51">
        <f t="shared" si="17"/>
        <v>140600</v>
      </c>
      <c r="E15" s="51">
        <f t="shared" si="17"/>
        <v>141900</v>
      </c>
      <c r="F15" s="52">
        <f>E15-D15</f>
        <v>1300</v>
      </c>
      <c r="G15" s="15">
        <v>10.5</v>
      </c>
      <c r="H15" s="55">
        <v>0.03</v>
      </c>
      <c r="I15">
        <f t="shared" si="15"/>
        <v>409.5</v>
      </c>
      <c r="J15" s="52">
        <v>1</v>
      </c>
      <c r="K15" s="19">
        <f>(30*14)/1.3</f>
        <v>323.07692307692304</v>
      </c>
      <c r="L15" s="53">
        <f t="shared" si="18"/>
        <v>1.2675000000000001</v>
      </c>
      <c r="M15" s="54">
        <f>N14+7</f>
        <v>43679.25</v>
      </c>
      <c r="N15" s="54">
        <f t="shared" si="16"/>
        <v>43680.517500000002</v>
      </c>
      <c r="O15" s="54"/>
      <c r="P15" s="54"/>
      <c r="Q15" s="54"/>
      <c r="R15" s="54"/>
      <c r="BP15" s="92"/>
      <c r="BQ15" s="92"/>
    </row>
    <row r="16" spans="1:219">
      <c r="A16" s="34"/>
      <c r="B16" s="34"/>
      <c r="C16" s="55" t="s">
        <v>65</v>
      </c>
      <c r="D16" s="51">
        <f t="shared" si="17"/>
        <v>140600</v>
      </c>
      <c r="E16" s="51">
        <f t="shared" si="17"/>
        <v>141900</v>
      </c>
      <c r="F16" s="52">
        <f>E16-D16</f>
        <v>1300</v>
      </c>
      <c r="G16" s="15">
        <v>10.5</v>
      </c>
      <c r="H16" s="55">
        <v>0.03</v>
      </c>
      <c r="I16">
        <f t="shared" si="15"/>
        <v>409.5</v>
      </c>
      <c r="J16" s="52">
        <v>1</v>
      </c>
      <c r="K16" s="19">
        <f>(30*14)/1.3</f>
        <v>323.07692307692304</v>
      </c>
      <c r="L16" s="53">
        <f t="shared" si="18"/>
        <v>1.2675000000000001</v>
      </c>
      <c r="M16" s="54">
        <f>N15+1</f>
        <v>43681.517500000002</v>
      </c>
      <c r="N16" s="54">
        <f t="shared" si="16"/>
        <v>43682.785000000003</v>
      </c>
      <c r="O16" s="54"/>
      <c r="P16" s="54"/>
      <c r="Q16" s="54"/>
      <c r="R16" s="54"/>
      <c r="BR16" s="32"/>
      <c r="BS16" s="32"/>
    </row>
    <row r="17" spans="1:14">
      <c r="A17" s="44" t="s">
        <v>70</v>
      </c>
      <c r="B17" s="44"/>
      <c r="C17" s="45"/>
      <c r="D17" s="46">
        <v>142300</v>
      </c>
      <c r="E17" s="47">
        <v>148200</v>
      </c>
      <c r="F17" s="48"/>
      <c r="G17" s="48"/>
      <c r="H17" s="48"/>
      <c r="I17" s="48"/>
      <c r="J17" s="48"/>
      <c r="K17" s="48"/>
      <c r="L17" s="48"/>
      <c r="M17" s="49">
        <f>MIN(M18:M20)</f>
        <v>0</v>
      </c>
      <c r="N17" s="49">
        <f>MAX(N18:N21)</f>
        <v>36.866666666666674</v>
      </c>
    </row>
    <row r="18" spans="1:14">
      <c r="C18" s="55" t="s">
        <v>65</v>
      </c>
      <c r="D18" s="51">
        <f>D17</f>
        <v>142300</v>
      </c>
      <c r="E18" s="51">
        <f>E17</f>
        <v>148200</v>
      </c>
      <c r="F18" s="52">
        <f t="shared" ref="F18:F19" si="19">E18-D18</f>
        <v>5900</v>
      </c>
      <c r="G18" s="15">
        <v>10.5</v>
      </c>
      <c r="H18" s="55">
        <v>0.03</v>
      </c>
      <c r="I18">
        <f t="shared" ref="I18:I19" si="20">F18*G18*H18</f>
        <v>1858.5</v>
      </c>
      <c r="J18" s="52">
        <v>1</v>
      </c>
      <c r="K18" s="19">
        <f>(30*14)/1.3</f>
        <v>323.07692307692304</v>
      </c>
      <c r="L18" s="53">
        <f t="shared" ref="L18:L19" si="21">I18/(J18*K18)</f>
        <v>5.7525000000000004</v>
      </c>
      <c r="M18" s="54">
        <f>BH15</f>
        <v>0</v>
      </c>
      <c r="N18" s="54">
        <f>M18+L18</f>
        <v>5.7525000000000004</v>
      </c>
    </row>
    <row r="19" spans="1:14">
      <c r="C19" s="55" t="s">
        <v>65</v>
      </c>
      <c r="D19" s="51">
        <f t="shared" ref="D19:E19" si="22">D18</f>
        <v>142300</v>
      </c>
      <c r="E19" s="51">
        <f t="shared" si="22"/>
        <v>148200</v>
      </c>
      <c r="F19" s="52">
        <f t="shared" si="19"/>
        <v>5900</v>
      </c>
      <c r="G19" s="15">
        <v>10.5</v>
      </c>
      <c r="H19" s="55">
        <v>0.03</v>
      </c>
      <c r="I19">
        <f t="shared" si="20"/>
        <v>1858.5</v>
      </c>
      <c r="J19" s="52">
        <v>1</v>
      </c>
      <c r="K19" s="19">
        <f>(30*14)/1.3</f>
        <v>323.07692307692304</v>
      </c>
      <c r="L19" s="53">
        <f t="shared" si="21"/>
        <v>5.7525000000000004</v>
      </c>
      <c r="M19" s="54">
        <f>BJ14</f>
        <v>0</v>
      </c>
      <c r="N19" s="54">
        <f>M19+L19+1</f>
        <v>6.7525000000000004</v>
      </c>
    </row>
    <row r="20" spans="1:14">
      <c r="A20" s="44" t="s">
        <v>71</v>
      </c>
      <c r="B20" s="44"/>
      <c r="C20" s="45"/>
      <c r="D20" s="46">
        <v>148200</v>
      </c>
      <c r="E20" s="47">
        <v>148600</v>
      </c>
      <c r="F20" s="48"/>
      <c r="G20" s="48"/>
      <c r="H20" s="48"/>
      <c r="I20" s="48"/>
      <c r="J20" s="48"/>
      <c r="K20" s="48"/>
      <c r="L20" s="48"/>
      <c r="M20" s="49">
        <f>MIN(M21:M23)</f>
        <v>0</v>
      </c>
      <c r="N20" s="49">
        <f>MAX(N21:N24)</f>
        <v>36.866666666666674</v>
      </c>
    </row>
    <row r="21" spans="1:14">
      <c r="C21" s="55" t="s">
        <v>64</v>
      </c>
      <c r="D21" s="51">
        <f>D20</f>
        <v>148200</v>
      </c>
      <c r="E21" s="51">
        <f>E20</f>
        <v>148600</v>
      </c>
      <c r="F21" s="52">
        <f t="shared" ref="F21" si="23">E21-D21</f>
        <v>400</v>
      </c>
      <c r="G21" s="15">
        <v>10.5</v>
      </c>
      <c r="H21" s="55">
        <v>0.04</v>
      </c>
      <c r="I21">
        <f t="shared" ref="I21" si="24">F21*G21*H21</f>
        <v>168</v>
      </c>
      <c r="J21" s="52">
        <v>1</v>
      </c>
      <c r="K21" s="19">
        <f>(30*14)/1.3</f>
        <v>323.07692307692304</v>
      </c>
      <c r="L21" s="53">
        <f t="shared" ref="L21" si="25">I21/(J21*K21)</f>
        <v>0.52</v>
      </c>
      <c r="M21" s="54">
        <f>AC18</f>
        <v>0</v>
      </c>
      <c r="N21" s="54">
        <f>M21+L21</f>
        <v>0.52</v>
      </c>
    </row>
    <row r="22" spans="1:14">
      <c r="A22" s="44" t="s">
        <v>72</v>
      </c>
      <c r="B22" s="44"/>
      <c r="C22" s="45"/>
      <c r="D22" s="46">
        <v>148600</v>
      </c>
      <c r="E22" s="47">
        <v>156500</v>
      </c>
      <c r="F22" s="48"/>
      <c r="G22" s="48"/>
      <c r="H22" s="48"/>
      <c r="I22" s="48"/>
      <c r="J22" s="48"/>
      <c r="K22" s="48"/>
      <c r="L22" s="48"/>
      <c r="M22" s="49">
        <f>MIN(M23:M25)</f>
        <v>0</v>
      </c>
      <c r="N22" s="49">
        <f>MAX(N23:N26)</f>
        <v>36.866666666666674</v>
      </c>
    </row>
    <row r="23" spans="1:14">
      <c r="C23" t="s">
        <v>67</v>
      </c>
      <c r="D23" s="51">
        <f>D22</f>
        <v>148600</v>
      </c>
      <c r="E23" s="51">
        <f>E22</f>
        <v>156500</v>
      </c>
      <c r="F23" s="52">
        <f>E23-D23</f>
        <v>7900</v>
      </c>
      <c r="G23" s="15">
        <v>10.5</v>
      </c>
      <c r="H23">
        <v>0.14000000000000001</v>
      </c>
      <c r="I23">
        <f t="shared" ref="I23:I26" si="26">F23*G23*H23</f>
        <v>11613.000000000002</v>
      </c>
      <c r="J23" s="52">
        <v>1</v>
      </c>
      <c r="K23" s="52">
        <f>300*10.5*0.1</f>
        <v>315</v>
      </c>
      <c r="L23" s="53">
        <f>I23/(J23*K23)</f>
        <v>36.866666666666674</v>
      </c>
      <c r="M23" s="54">
        <f>S17</f>
        <v>0</v>
      </c>
      <c r="N23" s="54">
        <f t="shared" ref="N23" si="27">M23+L23</f>
        <v>36.866666666666674</v>
      </c>
    </row>
    <row r="24" spans="1:14">
      <c r="C24" s="55" t="s">
        <v>69</v>
      </c>
      <c r="D24" s="51">
        <f t="shared" ref="D24:E26" si="28">D23</f>
        <v>148600</v>
      </c>
      <c r="E24" s="51">
        <f t="shared" si="28"/>
        <v>156500</v>
      </c>
      <c r="F24" s="52">
        <f>E24-D24</f>
        <v>7900</v>
      </c>
      <c r="G24" s="15">
        <v>10.5</v>
      </c>
      <c r="H24" s="55">
        <v>0.18</v>
      </c>
      <c r="I24">
        <f t="shared" si="26"/>
        <v>14931</v>
      </c>
      <c r="J24" s="52">
        <v>1</v>
      </c>
      <c r="K24" s="19">
        <f>400*10.5*0.18</f>
        <v>756</v>
      </c>
      <c r="L24" s="53">
        <f t="shared" ref="L24:L26" si="29">I24/(J24*K24)</f>
        <v>19.75</v>
      </c>
      <c r="M24" s="54">
        <f>W17</f>
        <v>0</v>
      </c>
      <c r="N24" s="54">
        <f>M24+L24+3</f>
        <v>22.75</v>
      </c>
    </row>
    <row r="25" spans="1:14">
      <c r="C25" s="55" t="s">
        <v>65</v>
      </c>
      <c r="D25" s="51">
        <f t="shared" si="28"/>
        <v>148600</v>
      </c>
      <c r="E25" s="51">
        <f t="shared" si="28"/>
        <v>156500</v>
      </c>
      <c r="F25" s="52">
        <f>E25-D25</f>
        <v>7900</v>
      </c>
      <c r="G25" s="15">
        <v>10.5</v>
      </c>
      <c r="H25" s="55">
        <v>0.03</v>
      </c>
      <c r="I25">
        <f t="shared" si="26"/>
        <v>2488.5</v>
      </c>
      <c r="J25" s="52">
        <v>1</v>
      </c>
      <c r="K25" s="19">
        <f>(30*14)/1.3</f>
        <v>323.07692307692304</v>
      </c>
      <c r="L25" s="53">
        <f t="shared" si="29"/>
        <v>7.7025000000000006</v>
      </c>
      <c r="M25" s="54">
        <f>AB17</f>
        <v>0</v>
      </c>
      <c r="N25" s="54">
        <f t="shared" ref="N25:N26" si="30">M25+L25</f>
        <v>7.7025000000000006</v>
      </c>
    </row>
    <row r="26" spans="1:14">
      <c r="C26" s="55" t="s">
        <v>65</v>
      </c>
      <c r="D26" s="51">
        <f t="shared" si="28"/>
        <v>148600</v>
      </c>
      <c r="E26" s="51">
        <f t="shared" si="28"/>
        <v>156500</v>
      </c>
      <c r="F26" s="52">
        <f>E26-D26</f>
        <v>7900</v>
      </c>
      <c r="G26" s="15">
        <v>10.5</v>
      </c>
      <c r="H26" s="55">
        <v>0.03</v>
      </c>
      <c r="I26">
        <f t="shared" si="26"/>
        <v>2488.5</v>
      </c>
      <c r="J26" s="52">
        <v>1</v>
      </c>
      <c r="K26" s="19">
        <f>(30*14)/1.3</f>
        <v>323.07692307692304</v>
      </c>
      <c r="L26" s="53">
        <f t="shared" si="29"/>
        <v>7.7025000000000006</v>
      </c>
      <c r="M26" s="54">
        <f>BP16</f>
        <v>0</v>
      </c>
      <c r="N26" s="54">
        <f t="shared" si="30"/>
        <v>7.7025000000000006</v>
      </c>
    </row>
    <row r="27" spans="1:14">
      <c r="A27" s="44" t="s">
        <v>73</v>
      </c>
      <c r="B27" s="44"/>
      <c r="C27" s="45"/>
      <c r="D27" s="46">
        <v>156500</v>
      </c>
      <c r="E27" s="47">
        <v>159500</v>
      </c>
      <c r="F27" s="48"/>
      <c r="G27" s="48"/>
      <c r="H27" s="48"/>
      <c r="I27" s="48"/>
      <c r="J27" s="48"/>
      <c r="K27" s="48"/>
      <c r="L27" s="48"/>
      <c r="M27" s="49">
        <f>MIN(M28:M30)</f>
        <v>0</v>
      </c>
      <c r="N27" s="49">
        <f>MAX(N28:N31)</f>
        <v>14</v>
      </c>
    </row>
    <row r="28" spans="1:14">
      <c r="C28" s="55" t="s">
        <v>65</v>
      </c>
      <c r="D28" s="51">
        <f>D27</f>
        <v>156500</v>
      </c>
      <c r="E28" s="51">
        <f>E27</f>
        <v>159500</v>
      </c>
      <c r="F28" s="52">
        <f t="shared" ref="F28:F29" si="31">E28-D28</f>
        <v>3000</v>
      </c>
      <c r="G28" s="15">
        <v>10.5</v>
      </c>
      <c r="H28" s="55">
        <v>0.03</v>
      </c>
      <c r="I28">
        <f t="shared" ref="I28:I29" si="32">F28*G28*H28</f>
        <v>945</v>
      </c>
      <c r="J28" s="52">
        <v>1</v>
      </c>
      <c r="K28" s="19">
        <f>(30*14)/1.3</f>
        <v>323.07692307692304</v>
      </c>
      <c r="L28" s="53">
        <f t="shared" ref="L28:L29" si="33">I28/(J28*K28)</f>
        <v>2.9250000000000003</v>
      </c>
      <c r="M28" s="54">
        <f>AC25</f>
        <v>0</v>
      </c>
      <c r="N28" s="54">
        <f>M28+L28</f>
        <v>2.9250000000000003</v>
      </c>
    </row>
    <row r="29" spans="1:14">
      <c r="C29" s="55" t="s">
        <v>65</v>
      </c>
      <c r="D29" s="51">
        <f t="shared" ref="D29:E29" si="34">D28</f>
        <v>156500</v>
      </c>
      <c r="E29" s="51">
        <f t="shared" si="34"/>
        <v>159500</v>
      </c>
      <c r="F29" s="52">
        <f t="shared" si="31"/>
        <v>3000</v>
      </c>
      <c r="G29" s="15">
        <v>10.5</v>
      </c>
      <c r="H29" s="55">
        <v>0.02</v>
      </c>
      <c r="I29">
        <f t="shared" si="32"/>
        <v>630</v>
      </c>
      <c r="J29" s="52">
        <v>1</v>
      </c>
      <c r="K29" s="19">
        <f>(30*14)/1.3</f>
        <v>323.07692307692304</v>
      </c>
      <c r="L29" s="53">
        <f t="shared" si="33"/>
        <v>1.9500000000000002</v>
      </c>
      <c r="M29" s="54">
        <f>AE24</f>
        <v>0</v>
      </c>
      <c r="N29" s="54">
        <f>M29+L29+1</f>
        <v>2.95</v>
      </c>
    </row>
    <row r="30" spans="1:14">
      <c r="A30" s="44" t="s">
        <v>74</v>
      </c>
      <c r="B30" s="44"/>
      <c r="C30" s="45"/>
      <c r="D30" s="46">
        <v>159500</v>
      </c>
      <c r="E30" s="47">
        <v>162500</v>
      </c>
      <c r="F30" s="48"/>
      <c r="G30" s="48"/>
      <c r="H30" s="48"/>
      <c r="I30" s="48"/>
      <c r="J30" s="48"/>
      <c r="K30" s="48"/>
      <c r="L30" s="48"/>
      <c r="M30" s="49">
        <f>MIN(M31:M33)</f>
        <v>0</v>
      </c>
      <c r="N30" s="49">
        <f>MAX(N31:N34)</f>
        <v>14</v>
      </c>
    </row>
    <row r="31" spans="1:14">
      <c r="C31" t="s">
        <v>67</v>
      </c>
      <c r="D31" s="51">
        <f>D30</f>
        <v>159500</v>
      </c>
      <c r="E31" s="51">
        <f>E30</f>
        <v>162500</v>
      </c>
      <c r="F31" s="52">
        <f>E31-D31</f>
        <v>3000</v>
      </c>
      <c r="G31" s="15">
        <v>10.5</v>
      </c>
      <c r="H31">
        <v>0.14000000000000001</v>
      </c>
      <c r="I31">
        <f t="shared" ref="I31:I34" si="35">F31*G31*H31</f>
        <v>4410</v>
      </c>
      <c r="J31" s="52">
        <v>1</v>
      </c>
      <c r="K31" s="52">
        <f>300*10.5*0.1</f>
        <v>315</v>
      </c>
      <c r="L31" s="53">
        <f>I31/(J31*K31)</f>
        <v>14</v>
      </c>
      <c r="M31" s="54">
        <f>S25</f>
        <v>0</v>
      </c>
      <c r="N31" s="54">
        <f t="shared" ref="N31" si="36">M31+L31</f>
        <v>14</v>
      </c>
    </row>
    <row r="32" spans="1:14">
      <c r="C32" s="55" t="s">
        <v>69</v>
      </c>
      <c r="D32" s="51">
        <f t="shared" ref="D32:E34" si="37">D31</f>
        <v>159500</v>
      </c>
      <c r="E32" s="51">
        <f t="shared" si="37"/>
        <v>162500</v>
      </c>
      <c r="F32" s="52">
        <f>E32-D32</f>
        <v>3000</v>
      </c>
      <c r="G32" s="15">
        <v>10.5</v>
      </c>
      <c r="H32" s="55">
        <v>0.18</v>
      </c>
      <c r="I32">
        <f t="shared" si="35"/>
        <v>5670</v>
      </c>
      <c r="J32" s="52">
        <v>1</v>
      </c>
      <c r="K32" s="19">
        <f>400*10.5*0.18</f>
        <v>756</v>
      </c>
      <c r="L32" s="53">
        <f t="shared" ref="L32:L34" si="38">I32/(J32*K32)</f>
        <v>7.5</v>
      </c>
      <c r="M32" s="54">
        <f>W25</f>
        <v>0</v>
      </c>
      <c r="N32" s="54">
        <f>M32+L32+3</f>
        <v>10.5</v>
      </c>
    </row>
    <row r="33" spans="1:14">
      <c r="C33" s="55" t="s">
        <v>65</v>
      </c>
      <c r="D33" s="51">
        <f t="shared" si="37"/>
        <v>159500</v>
      </c>
      <c r="E33" s="51">
        <f t="shared" si="37"/>
        <v>162500</v>
      </c>
      <c r="F33" s="52">
        <f>E33-D33</f>
        <v>3000</v>
      </c>
      <c r="G33" s="15">
        <v>10.5</v>
      </c>
      <c r="H33" s="55">
        <v>0.03</v>
      </c>
      <c r="I33">
        <f t="shared" si="35"/>
        <v>945</v>
      </c>
      <c r="J33" s="52">
        <v>1</v>
      </c>
      <c r="K33" s="19">
        <f>(30*14)/1.3</f>
        <v>323.07692307692304</v>
      </c>
      <c r="L33" s="53">
        <f t="shared" si="38"/>
        <v>2.9250000000000003</v>
      </c>
      <c r="M33" s="54">
        <f>AB25</f>
        <v>0</v>
      </c>
      <c r="N33" s="54">
        <f t="shared" ref="N33:N34" si="39">M33+L33</f>
        <v>2.9250000000000003</v>
      </c>
    </row>
    <row r="34" spans="1:14">
      <c r="C34" s="55" t="s">
        <v>65</v>
      </c>
      <c r="D34" s="51">
        <f t="shared" si="37"/>
        <v>159500</v>
      </c>
      <c r="E34" s="51">
        <f t="shared" si="37"/>
        <v>162500</v>
      </c>
      <c r="F34" s="52">
        <f>E34-D34</f>
        <v>3000</v>
      </c>
      <c r="G34" s="15">
        <v>10.5</v>
      </c>
      <c r="H34" s="55">
        <v>0.03</v>
      </c>
      <c r="I34">
        <f t="shared" si="35"/>
        <v>945</v>
      </c>
      <c r="J34" s="52">
        <v>1</v>
      </c>
      <c r="K34" s="19">
        <f>(30*14)/1.3</f>
        <v>323.07692307692304</v>
      </c>
      <c r="L34" s="53">
        <f t="shared" si="38"/>
        <v>2.9250000000000003</v>
      </c>
      <c r="M34" s="54">
        <f>AD24</f>
        <v>0</v>
      </c>
      <c r="N34" s="54">
        <f t="shared" si="39"/>
        <v>2.9250000000000003</v>
      </c>
    </row>
    <row r="35" spans="1:14">
      <c r="A35" s="44" t="s">
        <v>75</v>
      </c>
      <c r="B35" s="44"/>
      <c r="C35" s="45"/>
      <c r="D35" s="47">
        <v>162500</v>
      </c>
      <c r="E35" s="47">
        <v>165400</v>
      </c>
      <c r="F35" s="48"/>
      <c r="G35" s="48"/>
      <c r="H35" s="48"/>
      <c r="I35" s="48"/>
      <c r="J35" s="48"/>
      <c r="K35" s="48"/>
      <c r="L35" s="48"/>
      <c r="M35" s="49">
        <f>MIN(M36:M38)</f>
        <v>0</v>
      </c>
      <c r="N35" s="49">
        <f>MAX(N36:N39)</f>
        <v>6.5333333333333332</v>
      </c>
    </row>
    <row r="36" spans="1:14">
      <c r="C36" s="55" t="s">
        <v>65</v>
      </c>
      <c r="D36" s="51">
        <f>D35</f>
        <v>162500</v>
      </c>
      <c r="E36" s="51">
        <f>E35</f>
        <v>165400</v>
      </c>
      <c r="F36" s="52">
        <f t="shared" ref="F36:F37" si="40">E36-D36</f>
        <v>2900</v>
      </c>
      <c r="G36" s="15">
        <v>10.5</v>
      </c>
      <c r="H36" s="55">
        <v>0.03</v>
      </c>
      <c r="I36">
        <f t="shared" ref="I36:I37" si="41">F36*G36*H36</f>
        <v>913.5</v>
      </c>
      <c r="J36" s="52">
        <v>1</v>
      </c>
      <c r="K36" s="19">
        <f>(30*14)/1.3</f>
        <v>323.07692307692304</v>
      </c>
      <c r="L36" s="53">
        <f t="shared" ref="L36:L37" si="42">I36/(J36*K36)</f>
        <v>2.8275000000000001</v>
      </c>
      <c r="M36" s="54">
        <f>AC33</f>
        <v>0</v>
      </c>
      <c r="N36" s="54">
        <f>M36+L36</f>
        <v>2.8275000000000001</v>
      </c>
    </row>
    <row r="37" spans="1:14">
      <c r="C37" s="55" t="s">
        <v>65</v>
      </c>
      <c r="D37" s="51">
        <f t="shared" ref="D37:E37" si="43">D36</f>
        <v>162500</v>
      </c>
      <c r="E37" s="51">
        <f t="shared" si="43"/>
        <v>165400</v>
      </c>
      <c r="F37" s="52">
        <f t="shared" si="40"/>
        <v>2900</v>
      </c>
      <c r="G37" s="15">
        <v>10.5</v>
      </c>
      <c r="H37" s="55">
        <v>0.03</v>
      </c>
      <c r="I37">
        <f t="shared" si="41"/>
        <v>913.5</v>
      </c>
      <c r="J37" s="52">
        <v>1</v>
      </c>
      <c r="K37" s="19">
        <f>(30*14)/1.3</f>
        <v>323.07692307692304</v>
      </c>
      <c r="L37" s="53">
        <f t="shared" si="42"/>
        <v>2.8275000000000001</v>
      </c>
      <c r="M37" s="54">
        <f>AE32</f>
        <v>0</v>
      </c>
      <c r="N37" s="54">
        <f>M37+L37+1</f>
        <v>3.8275000000000001</v>
      </c>
    </row>
    <row r="38" spans="1:14">
      <c r="A38" s="44" t="s">
        <v>76</v>
      </c>
      <c r="B38" s="44"/>
      <c r="C38" s="45"/>
      <c r="D38" s="46">
        <v>165400</v>
      </c>
      <c r="E38" s="47">
        <v>166800</v>
      </c>
      <c r="F38" s="48"/>
      <c r="G38" s="48"/>
      <c r="H38" s="48"/>
      <c r="I38" s="48"/>
      <c r="J38" s="48"/>
      <c r="K38" s="48"/>
      <c r="L38" s="48"/>
      <c r="M38" s="49">
        <f>MIN(M39:M41)</f>
        <v>0</v>
      </c>
      <c r="N38" s="49">
        <f>MAX(N39:N42)</f>
        <v>6.5333333333333332</v>
      </c>
    </row>
    <row r="39" spans="1:14">
      <c r="C39" t="s">
        <v>67</v>
      </c>
      <c r="D39" s="51">
        <f>D38</f>
        <v>165400</v>
      </c>
      <c r="E39" s="51">
        <f>E38</f>
        <v>166800</v>
      </c>
      <c r="F39" s="52">
        <f>E39-D39</f>
        <v>1400</v>
      </c>
      <c r="G39" s="15">
        <v>10.5</v>
      </c>
      <c r="H39">
        <v>0.14000000000000001</v>
      </c>
      <c r="I39">
        <f t="shared" ref="I39:I42" si="44">F39*G39*H39</f>
        <v>2058</v>
      </c>
      <c r="J39" s="52">
        <v>1</v>
      </c>
      <c r="K39" s="52">
        <f>300*10.5*0.1</f>
        <v>315</v>
      </c>
      <c r="L39" s="53">
        <f>I39/(J39*K39)</f>
        <v>6.5333333333333332</v>
      </c>
      <c r="M39" s="54">
        <f>S33</f>
        <v>0</v>
      </c>
      <c r="N39" s="54">
        <f t="shared" ref="N39" si="45">M39+L39</f>
        <v>6.5333333333333332</v>
      </c>
    </row>
    <row r="40" spans="1:14">
      <c r="C40" s="55" t="s">
        <v>69</v>
      </c>
      <c r="D40" s="51">
        <f t="shared" ref="D40:E42" si="46">D39</f>
        <v>165400</v>
      </c>
      <c r="E40" s="51">
        <f t="shared" si="46"/>
        <v>166800</v>
      </c>
      <c r="F40" s="52">
        <f>E40-D40</f>
        <v>1400</v>
      </c>
      <c r="G40" s="15">
        <v>10.5</v>
      </c>
      <c r="H40" s="55">
        <v>0.18</v>
      </c>
      <c r="I40">
        <f t="shared" si="44"/>
        <v>2646</v>
      </c>
      <c r="J40" s="52">
        <v>1</v>
      </c>
      <c r="K40" s="19">
        <f>400*10.5*0.18</f>
        <v>756</v>
      </c>
      <c r="L40" s="53">
        <f t="shared" ref="L40:L42" si="47">I40/(J40*K40)</f>
        <v>3.5</v>
      </c>
      <c r="M40" s="54">
        <f>W33</f>
        <v>0</v>
      </c>
      <c r="N40" s="54">
        <f>M40+L40+3</f>
        <v>6.5</v>
      </c>
    </row>
    <row r="41" spans="1:14">
      <c r="C41" s="55" t="s">
        <v>65</v>
      </c>
      <c r="D41" s="51">
        <f t="shared" si="46"/>
        <v>165400</v>
      </c>
      <c r="E41" s="51">
        <f t="shared" si="46"/>
        <v>166800</v>
      </c>
      <c r="F41" s="52">
        <f>E41-D41</f>
        <v>1400</v>
      </c>
      <c r="G41" s="15">
        <v>10.5</v>
      </c>
      <c r="H41" s="55">
        <v>0.03</v>
      </c>
      <c r="I41">
        <f t="shared" si="44"/>
        <v>441</v>
      </c>
      <c r="J41" s="52">
        <v>1</v>
      </c>
      <c r="K41" s="19">
        <f>(30*14)/1.3</f>
        <v>323.07692307692304</v>
      </c>
      <c r="L41" s="53">
        <f t="shared" si="47"/>
        <v>1.3650000000000002</v>
      </c>
      <c r="M41" s="54">
        <f>AB33</f>
        <v>0</v>
      </c>
      <c r="N41" s="54">
        <f t="shared" ref="N41:N42" si="48">M41+L41</f>
        <v>1.3650000000000002</v>
      </c>
    </row>
    <row r="42" spans="1:14">
      <c r="C42" s="55" t="s">
        <v>65</v>
      </c>
      <c r="D42" s="51">
        <f t="shared" si="46"/>
        <v>165400</v>
      </c>
      <c r="E42" s="51">
        <f t="shared" si="46"/>
        <v>166800</v>
      </c>
      <c r="F42" s="52">
        <f>E42-D42</f>
        <v>1400</v>
      </c>
      <c r="G42" s="15">
        <v>10.5</v>
      </c>
      <c r="H42" s="55">
        <v>0.03</v>
      </c>
      <c r="I42">
        <f t="shared" si="44"/>
        <v>441</v>
      </c>
      <c r="J42" s="52">
        <v>1</v>
      </c>
      <c r="K42" s="19">
        <f>(30*14)/1.3</f>
        <v>323.07692307692304</v>
      </c>
      <c r="L42" s="53">
        <f t="shared" si="47"/>
        <v>1.3650000000000002</v>
      </c>
      <c r="M42" s="54">
        <f>AD32</f>
        <v>0</v>
      </c>
      <c r="N42" s="54">
        <f t="shared" si="48"/>
        <v>1.3650000000000002</v>
      </c>
    </row>
    <row r="44" spans="1:14">
      <c r="I44" t="s">
        <v>34</v>
      </c>
      <c r="J44" t="s">
        <v>39</v>
      </c>
    </row>
    <row r="45" spans="1:14">
      <c r="H45" t="s">
        <v>77</v>
      </c>
      <c r="I45" s="57">
        <f>I6+I7+I15+I16+I18+I19+I21+I25+I26+I28+I29+I33+I34+I36+I37+I41+I42</f>
        <v>19386.150000000001</v>
      </c>
      <c r="J45" s="57">
        <f>I45*2.4</f>
        <v>46526.76</v>
      </c>
    </row>
    <row r="46" spans="1:14">
      <c r="H46" t="s">
        <v>0</v>
      </c>
      <c r="I46" s="57">
        <f>I14+I24+I32+I40</f>
        <v>25704</v>
      </c>
      <c r="J46" s="57">
        <f>I46*2.3</f>
        <v>59119.199999999997</v>
      </c>
    </row>
    <row r="48" spans="1:14" ht="15.75" thickBot="1">
      <c r="G48" s="144" t="s">
        <v>87</v>
      </c>
      <c r="H48" s="144"/>
      <c r="I48" s="144"/>
      <c r="J48" s="145" t="s">
        <v>41</v>
      </c>
      <c r="K48" s="145"/>
      <c r="L48" s="145"/>
    </row>
    <row r="49" spans="2:13">
      <c r="C49" s="34"/>
      <c r="D49" s="15" t="s">
        <v>78</v>
      </c>
      <c r="E49" s="52" t="s">
        <v>79</v>
      </c>
      <c r="G49" s="60" t="s">
        <v>78</v>
      </c>
      <c r="H49" s="61" t="s">
        <v>79</v>
      </c>
      <c r="I49" s="62" t="s">
        <v>80</v>
      </c>
      <c r="J49" s="60" t="s">
        <v>78</v>
      </c>
      <c r="K49" s="61" t="s">
        <v>79</v>
      </c>
      <c r="L49" s="62" t="s">
        <v>80</v>
      </c>
    </row>
    <row r="50" spans="2:13" ht="15.75" thickBot="1">
      <c r="G50" s="63">
        <f>I6+I15+I18+I28+I33+I36+I41+I25</f>
        <v>9766.5750000000007</v>
      </c>
      <c r="H50" s="64">
        <f>I7+I16+I19+I21+I26+I29+I34+I37+I42</f>
        <v>9619.5750000000007</v>
      </c>
      <c r="I50" s="65">
        <f>SUM(G50:H50)</f>
        <v>19386.150000000001</v>
      </c>
      <c r="J50" s="63">
        <f>G50*2.4</f>
        <v>23439.780000000002</v>
      </c>
      <c r="K50" s="64">
        <f>H50*2.4</f>
        <v>23086.98</v>
      </c>
      <c r="L50" s="65">
        <f>SUM(J50:K50)</f>
        <v>46526.76</v>
      </c>
    </row>
    <row r="51" spans="2:13">
      <c r="B51" s="146" t="s">
        <v>85</v>
      </c>
      <c r="C51" s="17" t="s">
        <v>35</v>
      </c>
      <c r="D51" s="18">
        <v>0.48</v>
      </c>
      <c r="E51" s="18">
        <v>0.47</v>
      </c>
      <c r="G51" s="67">
        <f>$G$50*D51</f>
        <v>4687.9560000000001</v>
      </c>
      <c r="H51" s="68">
        <f>$H$50*E51</f>
        <v>4521.2002499999999</v>
      </c>
      <c r="I51" s="69">
        <f>G51+H51</f>
        <v>9209.15625</v>
      </c>
      <c r="J51" s="70">
        <f>$J$50*D51</f>
        <v>11251.0944</v>
      </c>
      <c r="K51" s="71">
        <f>$K$50*E51</f>
        <v>10850.880599999999</v>
      </c>
      <c r="L51" s="72">
        <f t="shared" ref="L51:L57" si="49">J51+K51</f>
        <v>22101.974999999999</v>
      </c>
      <c r="M51" s="66" t="s">
        <v>35</v>
      </c>
    </row>
    <row r="52" spans="2:13">
      <c r="B52" s="147"/>
      <c r="C52" s="17" t="s">
        <v>49</v>
      </c>
      <c r="D52" s="18">
        <v>0.32</v>
      </c>
      <c r="E52" s="18">
        <v>0.41</v>
      </c>
      <c r="G52" s="73">
        <f t="shared" ref="G52:G55" si="50">$G$50*D52</f>
        <v>3125.3040000000001</v>
      </c>
      <c r="H52" s="1"/>
      <c r="I52" s="74">
        <f>G52+H52</f>
        <v>3125.3040000000001</v>
      </c>
      <c r="J52" s="75">
        <f t="shared" ref="J52:J55" si="51">$J$50*D52</f>
        <v>7500.7296000000006</v>
      </c>
      <c r="K52" s="76"/>
      <c r="L52" s="77">
        <f t="shared" si="49"/>
        <v>7500.7296000000006</v>
      </c>
      <c r="M52" s="66" t="s">
        <v>49</v>
      </c>
    </row>
    <row r="53" spans="2:13">
      <c r="B53" s="147"/>
      <c r="C53" s="17" t="s">
        <v>81</v>
      </c>
      <c r="D53" s="18"/>
      <c r="E53" s="18">
        <v>0.41</v>
      </c>
      <c r="G53" s="73"/>
      <c r="H53" s="76">
        <f>$H$50*E53</f>
        <v>3944.0257500000002</v>
      </c>
      <c r="I53" s="74">
        <f>G53+H53</f>
        <v>3944.0257500000002</v>
      </c>
      <c r="J53" s="75"/>
      <c r="K53" s="76">
        <f>$K$50*E53</f>
        <v>9465.6617999999999</v>
      </c>
      <c r="L53" s="77">
        <f t="shared" si="49"/>
        <v>9465.6617999999999</v>
      </c>
      <c r="M53" s="66" t="s">
        <v>81</v>
      </c>
    </row>
    <row r="54" spans="2:13">
      <c r="B54" s="147"/>
      <c r="C54" s="17" t="s">
        <v>36</v>
      </c>
      <c r="D54" s="18">
        <v>0</v>
      </c>
      <c r="E54" s="18">
        <v>0</v>
      </c>
      <c r="G54" s="73">
        <f t="shared" si="50"/>
        <v>0</v>
      </c>
      <c r="H54" s="78">
        <f t="shared" ref="H54:H55" si="52">$H$50*E54</f>
        <v>0</v>
      </c>
      <c r="I54" s="74">
        <f>G54+H54</f>
        <v>0</v>
      </c>
      <c r="J54" s="75">
        <f t="shared" si="51"/>
        <v>0</v>
      </c>
      <c r="K54" s="76">
        <f t="shared" ref="K54:K55" si="53">$K$50*E54</f>
        <v>0</v>
      </c>
      <c r="L54" s="77">
        <f t="shared" si="49"/>
        <v>0</v>
      </c>
      <c r="M54" s="66" t="s">
        <v>82</v>
      </c>
    </row>
    <row r="55" spans="2:13">
      <c r="B55" s="147"/>
      <c r="C55" s="17" t="s">
        <v>37</v>
      </c>
      <c r="D55" s="18">
        <v>0.2</v>
      </c>
      <c r="E55" s="18">
        <v>0.12</v>
      </c>
      <c r="G55" s="73">
        <f t="shared" si="50"/>
        <v>1953.3150000000003</v>
      </c>
      <c r="H55" s="78">
        <f t="shared" si="52"/>
        <v>1154.3489999999999</v>
      </c>
      <c r="I55" s="74">
        <f>G55+H55</f>
        <v>3107.6640000000002</v>
      </c>
      <c r="J55" s="75">
        <f t="shared" si="51"/>
        <v>4687.956000000001</v>
      </c>
      <c r="K55" s="76">
        <f t="shared" si="53"/>
        <v>2770.4375999999997</v>
      </c>
      <c r="L55" s="77">
        <f t="shared" si="49"/>
        <v>7458.3936000000012</v>
      </c>
      <c r="M55" s="66" t="s">
        <v>37</v>
      </c>
    </row>
    <row r="56" spans="2:13">
      <c r="B56" s="147"/>
      <c r="C56" s="17" t="s">
        <v>38</v>
      </c>
      <c r="D56" s="16">
        <v>110</v>
      </c>
      <c r="E56" s="16">
        <v>110</v>
      </c>
      <c r="G56" s="79"/>
      <c r="H56" s="1"/>
      <c r="I56" s="1"/>
      <c r="J56" s="74">
        <f>G50*D56/1000</f>
        <v>1074.3232499999999</v>
      </c>
      <c r="K56" s="74">
        <f>H50*E56/1000</f>
        <v>1058.1532500000001</v>
      </c>
      <c r="L56" s="77">
        <f t="shared" si="49"/>
        <v>2132.4764999999998</v>
      </c>
      <c r="M56" s="66" t="s">
        <v>83</v>
      </c>
    </row>
    <row r="57" spans="2:13" ht="15.75" thickBot="1">
      <c r="B57" s="147"/>
      <c r="C57" s="17" t="s">
        <v>40</v>
      </c>
      <c r="D57" s="16">
        <v>32</v>
      </c>
      <c r="E57" s="16">
        <v>32</v>
      </c>
      <c r="G57" s="58"/>
      <c r="H57" s="59"/>
      <c r="I57" s="59"/>
      <c r="J57" s="80">
        <f>J56/D57</f>
        <v>33.572601562499997</v>
      </c>
      <c r="K57" s="80">
        <f>K56/E57</f>
        <v>33.067289062500002</v>
      </c>
      <c r="L57" s="81">
        <f t="shared" si="49"/>
        <v>66.639890624999992</v>
      </c>
      <c r="M57" s="66" t="s">
        <v>40</v>
      </c>
    </row>
    <row r="58" spans="2:13" ht="15.75" thickBot="1">
      <c r="G58" s="144" t="s">
        <v>87</v>
      </c>
      <c r="H58" s="144"/>
      <c r="I58" s="144"/>
      <c r="J58" s="145" t="s">
        <v>41</v>
      </c>
      <c r="K58" s="145"/>
      <c r="L58" s="145"/>
    </row>
    <row r="59" spans="2:13">
      <c r="C59" s="17" t="s">
        <v>84</v>
      </c>
      <c r="D59" s="18">
        <v>0.38</v>
      </c>
      <c r="G59" s="82"/>
      <c r="H59" s="83"/>
      <c r="I59" s="87">
        <f>I46*D59*1.35</f>
        <v>13186.152000000002</v>
      </c>
      <c r="J59" s="83"/>
      <c r="K59" s="83"/>
      <c r="L59" s="84">
        <f>I59*1.443</f>
        <v>19027.617336000003</v>
      </c>
      <c r="M59" s="17" t="s">
        <v>84</v>
      </c>
    </row>
    <row r="60" spans="2:13">
      <c r="C60" s="17" t="s">
        <v>86</v>
      </c>
      <c r="D60" s="20">
        <v>0.05</v>
      </c>
      <c r="G60" s="79"/>
      <c r="H60" s="1"/>
      <c r="I60" s="1"/>
      <c r="J60" s="1"/>
      <c r="K60" s="1"/>
      <c r="L60" s="85">
        <f>I46*2.3*D60</f>
        <v>2955.96</v>
      </c>
      <c r="M60" s="17" t="s">
        <v>86</v>
      </c>
    </row>
    <row r="61" spans="2:13" ht="15.75" thickBot="1">
      <c r="C61" s="17" t="s">
        <v>40</v>
      </c>
      <c r="D61">
        <v>25</v>
      </c>
      <c r="G61" s="58"/>
      <c r="H61" s="59"/>
      <c r="I61" s="59"/>
      <c r="J61" s="59"/>
      <c r="K61" s="59"/>
      <c r="L61" s="86">
        <f>L60/D61</f>
        <v>118.2384</v>
      </c>
      <c r="M61" s="17" t="s">
        <v>40</v>
      </c>
    </row>
  </sheetData>
  <mergeCells count="12">
    <mergeCell ref="GG1:HK1"/>
    <mergeCell ref="G48:I48"/>
    <mergeCell ref="J48:L48"/>
    <mergeCell ref="B51:B57"/>
    <mergeCell ref="G58:I58"/>
    <mergeCell ref="J58:L58"/>
    <mergeCell ref="O1:AI1"/>
    <mergeCell ref="AJ1:BN1"/>
    <mergeCell ref="BO1:CS1"/>
    <mergeCell ref="CT1:DW1"/>
    <mergeCell ref="DX1:FB1"/>
    <mergeCell ref="FC1:G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U3"/>
  <sheetViews>
    <sheetView workbookViewId="0">
      <selection activeCell="B7" sqref="B7"/>
    </sheetView>
  </sheetViews>
  <sheetFormatPr baseColWidth="10" defaultRowHeight="15"/>
  <cols>
    <col min="1" max="1" width="3.85546875" customWidth="1"/>
    <col min="2" max="2" width="22.85546875" bestFit="1" customWidth="1"/>
  </cols>
  <sheetData>
    <row r="1" spans="2:21" ht="15.75" thickBot="1"/>
    <row r="2" spans="2:21" ht="33">
      <c r="B2" s="3" t="s">
        <v>2</v>
      </c>
      <c r="C2" s="3" t="s">
        <v>3</v>
      </c>
      <c r="D2" s="3" t="s">
        <v>42</v>
      </c>
      <c r="E2" s="3" t="s">
        <v>5</v>
      </c>
      <c r="F2" s="3" t="s">
        <v>43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14</v>
      </c>
      <c r="M2" s="3" t="s">
        <v>15</v>
      </c>
      <c r="N2" s="3" t="s">
        <v>16</v>
      </c>
      <c r="O2" s="22" t="s">
        <v>17</v>
      </c>
      <c r="P2" s="3" t="s">
        <v>18</v>
      </c>
      <c r="Q2" s="7" t="s">
        <v>19</v>
      </c>
      <c r="R2" s="22" t="s">
        <v>44</v>
      </c>
      <c r="S2" s="22" t="s">
        <v>45</v>
      </c>
      <c r="T2" s="3" t="s">
        <v>30</v>
      </c>
      <c r="U2" s="3" t="s">
        <v>31</v>
      </c>
    </row>
    <row r="3" spans="2:21" ht="16.5">
      <c r="B3" s="23"/>
      <c r="C3" s="24" t="s">
        <v>33</v>
      </c>
      <c r="D3" s="21">
        <v>9</v>
      </c>
      <c r="E3" s="24"/>
      <c r="F3" s="21"/>
      <c r="G3" s="25"/>
      <c r="H3" s="25"/>
      <c r="I3" s="21">
        <f t="shared" ref="I3" si="0">H3-G3</f>
        <v>0</v>
      </c>
      <c r="J3" s="26"/>
      <c r="K3" s="26">
        <f t="shared" ref="K3" si="1">I3*J3</f>
        <v>0</v>
      </c>
      <c r="L3" s="21"/>
      <c r="M3" s="21"/>
      <c r="N3" s="27"/>
      <c r="O3" s="28"/>
      <c r="P3" s="26">
        <f t="shared" ref="P3" si="2">K3</f>
        <v>0</v>
      </c>
      <c r="Q3" s="28">
        <f>P3</f>
        <v>0</v>
      </c>
      <c r="R3" s="29">
        <f t="shared" ref="R3" si="3">ABS(O3-Q3)</f>
        <v>0</v>
      </c>
      <c r="S3" s="27">
        <f ca="1">$S$3-Q3</f>
        <v>0</v>
      </c>
      <c r="T3" s="30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3"/>
  <sheetViews>
    <sheetView workbookViewId="0">
      <selection activeCell="B3" sqref="B3"/>
    </sheetView>
  </sheetViews>
  <sheetFormatPr baseColWidth="10" defaultRowHeight="15"/>
  <cols>
    <col min="1" max="1" width="3.85546875" customWidth="1"/>
    <col min="2" max="2" width="22.85546875" bestFit="1" customWidth="1"/>
  </cols>
  <sheetData>
    <row r="1" spans="2:21" ht="15.75" thickBot="1"/>
    <row r="2" spans="2:21" ht="33">
      <c r="B2" s="3" t="s">
        <v>2</v>
      </c>
      <c r="C2" s="3" t="s">
        <v>3</v>
      </c>
      <c r="D2" s="3" t="s">
        <v>42</v>
      </c>
      <c r="E2" s="3" t="s">
        <v>5</v>
      </c>
      <c r="F2" s="3" t="s">
        <v>43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14</v>
      </c>
      <c r="M2" s="3" t="s">
        <v>15</v>
      </c>
      <c r="N2" s="3" t="s">
        <v>16</v>
      </c>
      <c r="O2" s="22" t="s">
        <v>17</v>
      </c>
      <c r="P2" s="3" t="s">
        <v>18</v>
      </c>
      <c r="Q2" s="7" t="s">
        <v>19</v>
      </c>
      <c r="R2" s="22" t="s">
        <v>44</v>
      </c>
      <c r="S2" s="22" t="s">
        <v>45</v>
      </c>
      <c r="T2" s="3" t="s">
        <v>30</v>
      </c>
      <c r="U2" s="3" t="s">
        <v>31</v>
      </c>
    </row>
    <row r="3" spans="2:21" ht="16.5">
      <c r="B3" s="23"/>
      <c r="C3" s="24" t="s">
        <v>33</v>
      </c>
      <c r="D3" s="21">
        <v>9</v>
      </c>
      <c r="E3" s="24"/>
      <c r="F3" s="21"/>
      <c r="G3" s="25"/>
      <c r="H3" s="25"/>
      <c r="I3" s="21">
        <f t="shared" ref="I3" si="0">H3-G3</f>
        <v>0</v>
      </c>
      <c r="J3" s="26"/>
      <c r="K3" s="26">
        <f t="shared" ref="K3" si="1">I3*J3</f>
        <v>0</v>
      </c>
      <c r="L3" s="21"/>
      <c r="M3" s="21"/>
      <c r="N3" s="27"/>
      <c r="O3" s="28"/>
      <c r="P3" s="26">
        <f t="shared" ref="P3" si="2">K3</f>
        <v>0</v>
      </c>
      <c r="Q3" s="28">
        <f>P3</f>
        <v>0</v>
      </c>
      <c r="R3" s="29">
        <f t="shared" ref="R3" si="3">ABS(O3-Q3)</f>
        <v>0</v>
      </c>
      <c r="S3" s="27">
        <f ca="1">$S$3-Q3</f>
        <v>0</v>
      </c>
      <c r="T3" s="3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ACARREOS BANCOS DE MAT</vt:lpstr>
      <vt:lpstr>BACHEO</vt:lpstr>
      <vt:lpstr>PROGRAMA</vt:lpstr>
      <vt:lpstr>prog 2 </vt:lpstr>
      <vt:lpstr>CEPILLADO</vt:lpstr>
      <vt:lpstr>RANURADO</vt:lpstr>
      <vt:lpstr>'ACARREOS BANCOS DE MAT'!Área_de_impresión</vt:lpstr>
      <vt:lpstr>'ACARREOS BANCOS DE MAT'!Títulos_a_imprimir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Mayo</dc:creator>
  <cp:lastModifiedBy>Rogelio Mayo</cp:lastModifiedBy>
  <cp:lastPrinted>2026-04-29T13:40:13Z</cp:lastPrinted>
  <dcterms:created xsi:type="dcterms:W3CDTF">2019-03-19T21:39:26Z</dcterms:created>
  <dcterms:modified xsi:type="dcterms:W3CDTF">2026-06-30T12:47:04Z</dcterms:modified>
</cp:coreProperties>
</file>